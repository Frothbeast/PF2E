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4805E7B8-6CDC-43AC-9C64-0FAB604C1326}" xr6:coauthVersionLast="47" xr6:coauthVersionMax="47" xr10:uidLastSave="{00000000-0000-0000-0000-000000000000}"/>
  <bookViews>
    <workbookView xWindow="705" yWindow="3360" windowWidth="21600" windowHeight="11835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_Trained">Kingdom!$E$21</definedName>
    <definedName name="Charter">Kingdom!$B$2</definedName>
    <definedName name="Charter_boost">Kingdom!$E$2</definedName>
    <definedName name="Conquest">Kingdom!$S$11</definedName>
    <definedName name="Culture">Kingdom!$C$11</definedName>
    <definedName name="Culture_Modifier">Kingdom!$B$11</definedName>
    <definedName name="Depotism">Kingdom!$S$3</definedName>
    <definedName name="Despotism">Kingdom!$S$3</definedName>
    <definedName name="Economy">Kingdom!$C$12</definedName>
    <definedName name="Economy_Modifier">Kingdom!$B$12</definedName>
    <definedName name="Expansion">Kingdom!$S$14</definedName>
    <definedName name="Exploration">Kingdom!$S$15</definedName>
    <definedName name="Feudalism">Kingdom!$S$4</definedName>
    <definedName name="Forest">Kingdom!$S$18</definedName>
    <definedName name="Government">Kingdom!$B$4</definedName>
    <definedName name="Government_boost">Kingdom!$E$4</definedName>
    <definedName name="Grant">Kingdom!$S$12</definedName>
    <definedName name="Heartland">Kingdom!$B$3</definedName>
    <definedName name="Hill">Kingdom!$S$20</definedName>
    <definedName name="Lake">Kingdom!$S$22</definedName>
    <definedName name="Level">Kingdom!$J$1</definedName>
    <definedName name="Loyalty">Kingdom!$C$13</definedName>
    <definedName name="Loyalty_Modifier">Kingdom!$B$13</definedName>
    <definedName name="Mountain">Kingdom!$S$24</definedName>
    <definedName name="Oligarchy">Kingdom!$S$5</definedName>
    <definedName name="Open">Kingdom!$S$13</definedName>
    <definedName name="Plain">Kingdom!$S$21</definedName>
    <definedName name="Republic">Kingdom!$S$6</definedName>
    <definedName name="River">Kingdom!$S$23</definedName>
    <definedName name="Ruins">Kingdom!$S$25</definedName>
    <definedName name="Size">Kingdom!$I$5</definedName>
    <definedName name="Stability">Kingdom!$C$14</definedName>
    <definedName name="Stability_Modifier">Kingdom!$B$14</definedName>
    <definedName name="Swamp">Kingdom!$S$19</definedName>
    <definedName name="Thaumocracy">Kingdom!$S$7</definedName>
    <definedName name="Yeomanry">Kingdom!$S$8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K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D18" i="1"/>
  <c r="B18" i="1" s="1"/>
  <c r="C28" i="1" l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B23" i="1"/>
  <c r="C22" i="1"/>
  <c r="B22" i="1" s="1"/>
  <c r="B27" i="1"/>
  <c r="B35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5E760397-666E-42B6-A728-F282C2A7F2AE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906AA583-AEB5-450A-9786-E32632BD1C5A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3F50FE61-0D41-454C-957E-DDD90D79A785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C1104FD2-F3FC-4023-96D5-2F5D64D5081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BC71EC92-51C0-48B9-8E65-9199413CA452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9BBCBDBA-E336-40A3-8D49-7B31F1656979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8C66A161-1A28-4B90-A552-EEF0909C63AE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9F43CA48-F23F-46C1-B7A1-ED4898D5529B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A50F7546-60BC-4D61-B603-738CAD07C41D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9100A086-1E89-447A-B035-CEF243A85B05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E7561B77-CE7F-41C7-999B-3ADE6BF7B737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486C7081-5E9C-46F9-BF5E-72C0729935BB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516EDD41-D78B-4C9B-AFAE-7956A9F433DA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FB67F355-D91E-4008-9477-D51FAB8E3D4D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8E12B143-E10A-4A88-8DCE-A0BADBB8A853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68247B9F-272A-476B-A3F5-CA9317CE7251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BFC13D-03BC-44FA-A566-0C0FB5AB626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<sst xmlns="http://schemas.openxmlformats.org/spreadsheetml/2006/main" count="154" uniqueCount="132">
  <si>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</si>
  <si>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</si>
  <si>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</si>
  <si>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</si>
  <si>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</si>
  <si>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</si>
  <si>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</si>
  <si>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</si>
  <si>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</si>
  <si>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</si>
  <si>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</si>
  <si>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</si>
  <si>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</si>
  <si>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</si>
  <si>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</si>
  <si>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</si>
  <si>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</si>
  <si>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</si>
  <si>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</si>
  <si>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</si>
  <si>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</si>
  <si>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</si>
  <si>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</si>
  <si>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</si>
  <si>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</si>
  <si>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</si>
  <si>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</si>
  <si>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</si>
  <si>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</si>
  <si>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</si>
  <si>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</si>
  <si>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</si>
  <si>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</si>
  <si>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</si>
  <si>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</si>
  <si>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</si>
  <si>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</si>
  <si>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</si>
  <si>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Yes</t>
  </si>
  <si>
    <t>No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</si>
  <si>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</si>
  <si>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</si>
  <si>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</si>
  <si>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</si>
  <si>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</si>
  <si>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</si>
  <si>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</si>
  <si>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</si>
  <si>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</si>
  <si>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</si>
  <si>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</si>
  <si>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</si>
  <si>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</si>
  <si>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</si>
  <si>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</si>
  <si>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</si>
  <si>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</si>
  <si>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</si>
  <si>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</si>
  <si>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</si>
  <si>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</si>
  <si>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</si>
  <si>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</si>
  <si>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</si>
  <si>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</si>
  <si>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</si>
  <si>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</si>
  <si>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</si>
  <si>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</si>
  <si>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</si>
  <si>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</si>
  <si>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</si>
  <si>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</si>
  <si>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</si>
  <si>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</si>
  <si>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</si>
  <si>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</si>
  <si>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</si>
  <si>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</si>
  <si>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</si>
  <si>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</si>
  <si>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</si>
  <si>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</si>
  <si>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</si>
  <si>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</si>
  <si>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</si>
  <si>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</si>
  <si>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</si>
  <si>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</si>
  <si>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</si>
  <si>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</si>
  <si>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</si>
  <si>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</si>
  <si>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</si>
  <si>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</si>
  <si>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</si>
  <si>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</si>
  <si>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</si>
  <si>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</si>
  <si>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</si>
  <si>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</si>
  <si>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</si>
  <si>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</si>
  <si>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</si>
  <si>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</si>
  <si>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Bravery</t>
  </si>
  <si>
    <t>WATER</t>
  </si>
  <si>
    <t>Town Hall</t>
  </si>
  <si>
    <t>House</t>
  </si>
  <si>
    <t>Stag's Head</t>
  </si>
  <si>
    <t>Village</t>
  </si>
  <si>
    <t>Free boost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</si>
  <si>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</si>
  <si>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</si>
  <si>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</si>
  <si>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</si>
  <si>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</si>
  <si>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</si>
  <si>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</si>
  <si>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</si>
  <si>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</si>
  <si>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</si>
  <si>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</si>
  <si>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Pick One</t>
  </si>
  <si>
    <t>Forest</t>
  </si>
  <si>
    <t>Swamp</t>
  </si>
  <si>
    <t>Hill</t>
  </si>
  <si>
    <t>Plain</t>
  </si>
  <si>
    <t>Lake</t>
  </si>
  <si>
    <t>River</t>
  </si>
  <si>
    <t>Mountain</t>
  </si>
  <si>
    <t>Depotism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</si>
</sst>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checked="Checked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checked="Checked" fmlaLink="E33" noThreeD="1"/>
</file>

<file path=xl/ctrlProps/ctrlProp11.xml><?xml version="1.0" encoding="utf-8"?>
<formControlPr xmlns="http://schemas.microsoft.com/office/spreadsheetml/2009/9/main" objectType="CheckBox" checked="Checked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checked="Checked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checked="Checked" fmlaLink="E23" noThreeD="1"/>
</file>

<file path=xl/ctrlProps/ctrlProp32.xml><?xml version="1.0" encoding="utf-8"?>
<formControlPr xmlns="http://schemas.microsoft.com/office/spreadsheetml/2009/9/main" objectType="CheckBox" checked="Checked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checked="Checked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33</xdr:row>
          <xdr:rowOff>19050</xdr:rowOff>
        </xdr:from>
        <xdr:to>
          <xdr:col>7</xdr:col>
          <xdr:colOff>200025</xdr:colOff>
          <xdr:row>33</xdr:row>
          <xdr:rowOff>238125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0"/>
  <sheetViews>
    <sheetView tabSelected="1" zoomScale="75" zoomScaleNormal="75" workbookViewId="0">
      <selection activeCell="B4" sqref="B4:D4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8" width="3.28515625" style="1" customWidth="1"/>
    <col min="9" max="9" width="13.42578125" style="1" bestFit="1" customWidth="1"/>
    <col min="10" max="10" width="7.42578125" style="1" bestFit="1" customWidth="1"/>
    <col min="11" max="11" width="9.42578125" style="1" bestFit="1" customWidth="1"/>
    <col min="12" max="12" width="15.42578125" style="1" bestFit="1" customWidth="1"/>
    <col min="13" max="13" width="9.140625" style="1"/>
    <col min="14" max="14" width="10.85546875" style="1" bestFit="1" customWidth="1"/>
    <col min="15" max="15" width="12.42578125" style="1" bestFit="1" customWidth="1"/>
    <col min="16" max="16" width="12" style="1" bestFit="1" customWidth="1"/>
    <col min="17" max="17" width="6.85546875" style="1" bestFit="1" customWidth="1"/>
    <col min="18" max="18" width="6.7109375" style="1" customWidth="1"/>
    <col min="19" max="19" width="9.140625" style="1"/>
    <col min="20" max="20" width="6.28515625" style="1" customWidth="1"/>
    <col min="21" max="21" width="9.140625" style="1"/>
    <col min="22" max="22" width="20.140625" style="1" customWidth="1"/>
    <col min="23" max="23" width="20.7109375" style="1" customWidth="1"/>
    <col min="24" max="16384" width="9.140625" style="1"/>
  </cols>
  <sheetData>
    <row r="1" spans="1:22" ht="20.25" customHeight="1" x14ac:dyDescent="0.3">
      <c r="A1" s="13" t="s">
        <v>0</v>
      </c>
      <c r="B1" s="46" t="s">
        <v>53</v>
      </c>
      <c r="C1" s="46"/>
      <c r="D1" s="46"/>
      <c r="E1" s="12"/>
      <c r="F1" s="12"/>
      <c r="G1" s="12"/>
      <c r="H1" s="11"/>
      <c r="I1" s="13" t="s">
        <v>15</v>
      </c>
      <c r="J1" s="14">
        <v>1</v>
      </c>
      <c r="K1" s="13" t="s">
        <v>16</v>
      </c>
      <c r="L1" s="14">
        <v>0</v>
      </c>
      <c r="N1" s="45" t="s">
        <v>20</v>
      </c>
      <c r="O1" s="45"/>
      <c r="P1" s="45"/>
      <c r="V1" s="1" t="s">
        <v>131</v>
      </c>
    </row>
    <row r="2" spans="1:22" ht="20.25" customHeight="1" x14ac:dyDescent="0.3">
      <c r="A2" s="13" t="s">
        <v>1</v>
      </c>
      <c r="B2" s="46" t="s">
        <v>123</v>
      </c>
      <c r="C2" s="46"/>
      <c r="D2" s="46"/>
      <c r="E2" s="47" t="s">
        <v>111</v>
      </c>
      <c r="F2" s="47"/>
      <c r="G2" s="47"/>
      <c r="H2" s="47"/>
      <c r="I2" s="13" t="s">
        <v>14</v>
      </c>
      <c r="J2" s="14"/>
      <c r="K2" s="13" t="s">
        <v>17</v>
      </c>
      <c r="L2" s="14"/>
      <c r="N2" s="15" t="s">
        <v>29</v>
      </c>
      <c r="O2" s="15" t="s">
        <v>8</v>
      </c>
      <c r="P2" s="15" t="s">
        <v>21</v>
      </c>
      <c r="S2" s="37" t="s">
        <v>112</v>
      </c>
      <c r="T2" s="37"/>
      <c r="U2" s="37"/>
      <c r="V2" s="1" t="s">
        <v>114</v>
      </c>
    </row>
    <row r="3" spans="1:22" ht="20.25" customHeight="1" x14ac:dyDescent="0.3">
      <c r="A3" s="13" t="s">
        <v>2</v>
      </c>
      <c r="B3" s="46" t="s">
        <v>130</v>
      </c>
      <c r="C3" s="46"/>
      <c r="D3" s="46"/>
      <c r="N3" s="6" t="s">
        <v>38</v>
      </c>
      <c r="O3" s="6" t="s">
        <v>30</v>
      </c>
      <c r="P3" s="6" t="s">
        <v>40</v>
      </c>
      <c r="S3" s="35" t="s">
        <v>117</v>
      </c>
      <c r="T3" s="35"/>
      <c r="U3" s="35"/>
    </row>
    <row r="4" spans="1:22" ht="20.25" customHeight="1" x14ac:dyDescent="0.3">
      <c r="A4" s="13" t="s">
        <v>3</v>
      </c>
      <c r="B4" s="46" t="s">
        <v>114</v>
      </c>
      <c r="C4" s="46"/>
      <c r="D4" s="46"/>
      <c r="E4" s="47" t="s">
        <v>111</v>
      </c>
      <c r="F4" s="47"/>
      <c r="G4" s="47"/>
      <c r="H4" s="47"/>
      <c r="I4" s="9" t="s">
        <v>11</v>
      </c>
      <c r="J4" s="9" t="s">
        <v>12</v>
      </c>
      <c r="K4" s="9" t="s">
        <v>13</v>
      </c>
      <c r="N4" s="6" t="s">
        <v>38</v>
      </c>
      <c r="O4" s="6" t="s">
        <v>31</v>
      </c>
      <c r="P4" s="6" t="s">
        <v>41</v>
      </c>
      <c r="S4" s="35" t="s">
        <v>113</v>
      </c>
      <c r="T4" s="35"/>
      <c r="U4" s="35"/>
    </row>
    <row r="5" spans="1:22" ht="20.25" customHeight="1" x14ac:dyDescent="0.3">
      <c r="A5" s="13" t="s">
        <v>4</v>
      </c>
      <c r="B5" s="46" t="s">
        <v>57</v>
      </c>
      <c r="C5" s="46"/>
      <c r="D5" s="46"/>
      <c r="I5" s="6">
        <v>2</v>
      </c>
      <c r="J5" s="6">
        <v>7</v>
      </c>
      <c r="K5" s="6">
        <v>460</v>
      </c>
      <c r="M5" s="16"/>
      <c r="N5" s="6" t="s">
        <v>38</v>
      </c>
      <c r="O5" s="6" t="s">
        <v>32</v>
      </c>
      <c r="P5" s="6" t="s">
        <v>42</v>
      </c>
      <c r="S5" s="35" t="s">
        <v>114</v>
      </c>
      <c r="T5" s="35"/>
      <c r="U5" s="35"/>
    </row>
    <row r="6" spans="1:22" ht="20.25" customHeight="1" x14ac:dyDescent="0.3">
      <c r="M6" s="16"/>
      <c r="N6" s="6" t="s">
        <v>39</v>
      </c>
      <c r="O6" s="6" t="s">
        <v>33</v>
      </c>
      <c r="P6" s="6" t="s">
        <v>43</v>
      </c>
      <c r="S6" s="35" t="s">
        <v>56</v>
      </c>
      <c r="T6" s="35"/>
      <c r="U6" s="35"/>
    </row>
    <row r="7" spans="1:22" ht="20.25" customHeight="1" x14ac:dyDescent="0.3">
      <c r="M7" s="11"/>
      <c r="N7" s="6" t="s">
        <v>38</v>
      </c>
      <c r="O7" s="6" t="s">
        <v>34</v>
      </c>
      <c r="P7" s="6" t="s">
        <v>44</v>
      </c>
      <c r="S7" s="35" t="s">
        <v>115</v>
      </c>
      <c r="T7" s="35"/>
      <c r="U7" s="35"/>
    </row>
    <row r="8" spans="1:22" ht="20.25" customHeight="1" x14ac:dyDescent="0.3">
      <c r="M8" s="11"/>
      <c r="N8" s="6" t="s">
        <v>39</v>
      </c>
      <c r="O8" s="6" t="s">
        <v>35</v>
      </c>
      <c r="P8" s="6"/>
      <c r="S8" s="35" t="s">
        <v>116</v>
      </c>
      <c r="T8" s="35"/>
      <c r="U8" s="35"/>
    </row>
    <row r="9" spans="1:22" ht="20.25" customHeight="1" x14ac:dyDescent="0.3">
      <c r="A9" s="11"/>
      <c r="B9" s="45" t="s">
        <v>18</v>
      </c>
      <c r="C9" s="45"/>
      <c r="D9" s="45"/>
      <c r="E9" s="15"/>
      <c r="F9" s="15"/>
      <c r="G9" s="15"/>
      <c r="H9" s="16"/>
      <c r="I9" s="45" t="s">
        <v>19</v>
      </c>
      <c r="J9" s="45"/>
      <c r="K9" s="45"/>
      <c r="L9" s="45"/>
      <c r="M9" s="11"/>
      <c r="N9" s="6" t="s">
        <v>38</v>
      </c>
      <c r="O9" s="6" t="s">
        <v>36</v>
      </c>
      <c r="P9" s="6" t="s">
        <v>45</v>
      </c>
      <c r="S9" s="34"/>
      <c r="T9" s="34"/>
      <c r="U9" s="34"/>
    </row>
    <row r="10" spans="1:22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9" t="s">
        <v>8</v>
      </c>
      <c r="J10" s="9" t="s">
        <v>7</v>
      </c>
      <c r="K10" s="9" t="s">
        <v>9</v>
      </c>
      <c r="L10" s="9" t="s">
        <v>10</v>
      </c>
      <c r="M10" s="11"/>
      <c r="N10" s="6" t="s">
        <v>38</v>
      </c>
      <c r="O10" s="6" t="s">
        <v>37</v>
      </c>
      <c r="P10" s="6" t="s">
        <v>46</v>
      </c>
      <c r="S10" s="37" t="s">
        <v>118</v>
      </c>
      <c r="T10" s="37"/>
      <c r="U10" s="37"/>
    </row>
    <row r="11" spans="1:22" ht="20.25" customHeight="1" x14ac:dyDescent="0.3">
      <c r="A11" s="11"/>
      <c r="B11" s="6">
        <f>IF(D11="","",ROUNDDOWN((D11-10)/2,0))</f>
        <v>0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10</v>
      </c>
      <c r="E11" s="12"/>
      <c r="F11" s="12"/>
      <c r="G11" s="12"/>
      <c r="H11" s="11"/>
      <c r="I11" s="17" t="s">
        <v>47</v>
      </c>
      <c r="J11" s="6">
        <v>0</v>
      </c>
      <c r="K11" s="6"/>
      <c r="L11" s="6">
        <v>10</v>
      </c>
      <c r="M11" s="11"/>
      <c r="S11" s="35" t="s">
        <v>119</v>
      </c>
      <c r="T11" s="35"/>
      <c r="U11" s="35"/>
    </row>
    <row r="12" spans="1:22" ht="20.25" customHeight="1" x14ac:dyDescent="0.3">
      <c r="A12" s="11"/>
      <c r="B12" s="6">
        <f t="shared" ref="B12:B14" si="0">IF(D12="","",ROUNDDOWN((D12-10)/2,0))</f>
        <v>1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12</v>
      </c>
      <c r="E12" s="12"/>
      <c r="F12" s="12"/>
      <c r="G12" s="12"/>
      <c r="H12" s="11"/>
      <c r="I12" s="17" t="s">
        <v>48</v>
      </c>
      <c r="J12" s="6">
        <v>0</v>
      </c>
      <c r="K12" s="6"/>
      <c r="L12" s="6">
        <v>10</v>
      </c>
      <c r="M12" s="11"/>
      <c r="N12" s="39" t="s">
        <v>84</v>
      </c>
      <c r="O12" s="40"/>
      <c r="P12" s="41"/>
      <c r="S12" s="35" t="s">
        <v>120</v>
      </c>
      <c r="T12" s="35"/>
      <c r="U12" s="35"/>
    </row>
    <row r="13" spans="1:22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7" t="s">
        <v>49</v>
      </c>
      <c r="J13" s="6">
        <v>0</v>
      </c>
      <c r="K13" s="6"/>
      <c r="L13" s="6">
        <v>10</v>
      </c>
      <c r="M13" s="11"/>
      <c r="N13" s="39" t="s">
        <v>92</v>
      </c>
      <c r="O13" s="40"/>
      <c r="P13" s="41"/>
      <c r="S13" s="35" t="s">
        <v>121</v>
      </c>
      <c r="T13" s="35"/>
      <c r="U13" s="35"/>
    </row>
    <row r="14" spans="1:22" ht="20.25" customHeight="1" x14ac:dyDescent="0.3">
      <c r="A14" s="11"/>
      <c r="B14" s="6">
        <f t="shared" si="0"/>
        <v>1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12</v>
      </c>
      <c r="E14" s="12"/>
      <c r="F14" s="12"/>
      <c r="G14" s="12"/>
      <c r="H14" s="11"/>
      <c r="I14" s="17" t="s">
        <v>50</v>
      </c>
      <c r="J14" s="6">
        <v>0</v>
      </c>
      <c r="K14" s="6"/>
      <c r="L14" s="6">
        <v>10</v>
      </c>
      <c r="M14" s="11"/>
      <c r="N14" s="39"/>
      <c r="O14" s="40"/>
      <c r="P14" s="41"/>
      <c r="S14" s="35" t="s">
        <v>122</v>
      </c>
      <c r="T14" s="35"/>
      <c r="U14" s="35"/>
    </row>
    <row r="15" spans="1:22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N15" s="39"/>
      <c r="O15" s="40"/>
      <c r="P15" s="41"/>
      <c r="S15" s="35" t="s">
        <v>54</v>
      </c>
      <c r="T15" s="35"/>
      <c r="U15" s="35"/>
    </row>
    <row r="16" spans="1:22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39" t="s">
        <v>51</v>
      </c>
      <c r="J16" s="41"/>
      <c r="K16" s="6">
        <v>-1</v>
      </c>
      <c r="L16" s="11"/>
      <c r="N16" s="39"/>
      <c r="O16" s="40"/>
      <c r="P16" s="41"/>
      <c r="S16" s="34"/>
      <c r="T16" s="34"/>
      <c r="U16" s="34"/>
    </row>
    <row r="17" spans="1:21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39" t="s">
        <v>9</v>
      </c>
      <c r="J17" s="41"/>
      <c r="K17" s="6">
        <f>ABS(ROUNDDOWN(K16/5,0))</f>
        <v>0</v>
      </c>
      <c r="L17" s="11"/>
      <c r="N17" s="39"/>
      <c r="O17" s="40"/>
      <c r="P17" s="41"/>
      <c r="S17" s="37" t="s">
        <v>2</v>
      </c>
      <c r="T17" s="37"/>
      <c r="U17" s="37"/>
    </row>
    <row r="18" spans="1:21" ht="20.25" customHeight="1" x14ac:dyDescent="0.3">
      <c r="A18" s="12"/>
      <c r="B18" s="6">
        <f>C18+D18</f>
        <v>16</v>
      </c>
      <c r="C18" s="6">
        <v>14</v>
      </c>
      <c r="D18" s="6">
        <f>I5</f>
        <v>2</v>
      </c>
      <c r="E18" s="12"/>
      <c r="F18" s="12"/>
      <c r="G18" s="12"/>
      <c r="H18" s="11"/>
      <c r="I18" s="39" t="s">
        <v>52</v>
      </c>
      <c r="J18" s="41"/>
      <c r="K18" s="6">
        <v>1</v>
      </c>
      <c r="L18" s="11"/>
      <c r="N18" s="39"/>
      <c r="O18" s="40"/>
      <c r="P18" s="41"/>
      <c r="S18" s="35" t="s">
        <v>124</v>
      </c>
      <c r="T18" s="35"/>
      <c r="U18" s="35"/>
    </row>
    <row r="19" spans="1:21" ht="20.25" customHeight="1" x14ac:dyDescent="0.3">
      <c r="A19" s="2"/>
      <c r="B19" s="2"/>
      <c r="C19" s="2"/>
      <c r="D19" s="2"/>
      <c r="E19" s="2"/>
      <c r="F19" s="2"/>
      <c r="G19" s="2"/>
      <c r="N19" s="39"/>
      <c r="O19" s="40"/>
      <c r="P19" s="41"/>
      <c r="S19" s="35" t="s">
        <v>125</v>
      </c>
      <c r="T19" s="35"/>
      <c r="U19" s="35"/>
    </row>
    <row r="20" spans="1:21" ht="20.25" customHeight="1" x14ac:dyDescent="0.3">
      <c r="A20" s="2"/>
      <c r="B20" s="4" t="s">
        <v>28</v>
      </c>
      <c r="C20" s="4" t="s">
        <v>59</v>
      </c>
      <c r="D20" s="4" t="s">
        <v>60</v>
      </c>
      <c r="E20" s="4" t="s">
        <v>65</v>
      </c>
      <c r="F20" s="4" t="s">
        <v>66</v>
      </c>
      <c r="G20" s="4" t="s">
        <v>67</v>
      </c>
      <c r="H20" s="4" t="s">
        <v>68</v>
      </c>
      <c r="I20" s="4" t="s">
        <v>61</v>
      </c>
      <c r="J20" s="4" t="s">
        <v>62</v>
      </c>
      <c r="K20" s="4" t="s">
        <v>63</v>
      </c>
      <c r="L20" s="4" t="s">
        <v>64</v>
      </c>
      <c r="N20" s="39"/>
      <c r="O20" s="40"/>
      <c r="P20" s="41"/>
      <c r="S20" s="35" t="s">
        <v>126</v>
      </c>
      <c r="T20" s="35"/>
      <c r="U20" s="35"/>
    </row>
    <row r="21" spans="1:21" ht="20.25" customHeight="1" x14ac:dyDescent="0.3">
      <c r="A21" s="3" t="s">
        <v>58</v>
      </c>
      <c r="B21" s="20">
        <f>C21+D21+I21+J21+K21+L21</f>
        <v>2</v>
      </c>
      <c r="C21" s="20">
        <f>Stability_Modifier</f>
        <v>1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v>1</v>
      </c>
      <c r="J21" s="20"/>
      <c r="K21" s="20"/>
      <c r="L21" s="20"/>
      <c r="N21" s="39"/>
      <c r="O21" s="40"/>
      <c r="P21" s="41"/>
      <c r="S21" s="35" t="s">
        <v>127</v>
      </c>
      <c r="T21" s="35"/>
      <c r="U21" s="35"/>
    </row>
    <row r="22" spans="1:21" ht="20.25" customHeight="1" x14ac:dyDescent="0.3">
      <c r="A22" s="3" t="s">
        <v>69</v>
      </c>
      <c r="B22" s="6">
        <f t="shared" ref="B22:B36" si="2">C22+D22+I22+J22+K22+L22</f>
        <v>1</v>
      </c>
      <c r="C22" s="6">
        <f>Culture_Modifier</f>
        <v>0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v>1</v>
      </c>
      <c r="J22" s="6"/>
      <c r="K22" s="6"/>
      <c r="L22" s="6"/>
      <c r="N22" s="11"/>
      <c r="O22" s="12"/>
      <c r="P22" s="11"/>
      <c r="S22" s="35" t="s">
        <v>128</v>
      </c>
      <c r="T22" s="35"/>
      <c r="U22" s="35"/>
    </row>
    <row r="23" spans="1:21" ht="20.25" customHeight="1" x14ac:dyDescent="0.3">
      <c r="A23" s="3" t="s">
        <v>70</v>
      </c>
      <c r="B23" s="20">
        <f t="shared" si="2"/>
        <v>4</v>
      </c>
      <c r="C23" s="20">
        <f>Economy_Modifier</f>
        <v>1</v>
      </c>
      <c r="D23" s="20">
        <f t="shared" si="1"/>
        <v>3</v>
      </c>
      <c r="E23" s="21" t="b">
        <v>1</v>
      </c>
      <c r="F23" s="21" t="b">
        <v>0</v>
      </c>
      <c r="G23" s="21" t="b">
        <v>0</v>
      </c>
      <c r="H23" s="22" t="b">
        <v>0</v>
      </c>
      <c r="I23" s="20">
        <v>0</v>
      </c>
      <c r="J23" s="20"/>
      <c r="K23" s="20"/>
      <c r="L23" s="20"/>
      <c r="N23" s="39" t="s">
        <v>83</v>
      </c>
      <c r="O23" s="40"/>
      <c r="P23" s="41"/>
      <c r="S23" s="35" t="s">
        <v>129</v>
      </c>
      <c r="T23" s="35"/>
      <c r="U23" s="35"/>
    </row>
    <row r="24" spans="1:21" ht="20.25" customHeight="1" x14ac:dyDescent="0.3">
      <c r="A24" s="3" t="s">
        <v>71</v>
      </c>
      <c r="B24" s="6">
        <f t="shared" si="2"/>
        <v>5</v>
      </c>
      <c r="C24" s="6">
        <f>Stability_Modifier</f>
        <v>1</v>
      </c>
      <c r="D24" s="6">
        <f t="shared" si="1"/>
        <v>3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v>1</v>
      </c>
      <c r="J24" s="6"/>
      <c r="K24" s="6"/>
      <c r="L24" s="6"/>
      <c r="N24" s="39"/>
      <c r="O24" s="40"/>
      <c r="P24" s="41"/>
      <c r="S24" s="35" t="s">
        <v>130</v>
      </c>
      <c r="T24" s="35"/>
      <c r="U24" s="35"/>
    </row>
    <row r="25" spans="1:21" ht="20.25" customHeight="1" x14ac:dyDescent="0.3">
      <c r="A25" s="3" t="s">
        <v>72</v>
      </c>
      <c r="B25" s="20">
        <f t="shared" si="2"/>
        <v>5</v>
      </c>
      <c r="C25" s="20">
        <f>Stability_Modifier</f>
        <v>1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v>1</v>
      </c>
      <c r="J25" s="20"/>
      <c r="K25" s="20"/>
      <c r="L25" s="20"/>
      <c r="N25" s="39"/>
      <c r="O25" s="40"/>
      <c r="P25" s="41"/>
      <c r="S25" s="36" t="s">
        <v>55</v>
      </c>
      <c r="T25" s="36"/>
      <c r="U25" s="36"/>
    </row>
    <row r="26" spans="1:21" ht="20.25" customHeight="1" x14ac:dyDescent="0.3">
      <c r="A26" s="3" t="s">
        <v>54</v>
      </c>
      <c r="B26" s="6">
        <f t="shared" si="2"/>
        <v>4</v>
      </c>
      <c r="C26" s="6">
        <f>Economy_Modifier</f>
        <v>1</v>
      </c>
      <c r="D26" s="6">
        <f t="shared" si="1"/>
        <v>3</v>
      </c>
      <c r="E26" s="9" t="b">
        <v>1</v>
      </c>
      <c r="F26" s="9" t="b">
        <v>0</v>
      </c>
      <c r="G26" s="9" t="b">
        <v>0</v>
      </c>
      <c r="H26" s="6" t="b">
        <v>0</v>
      </c>
      <c r="I26" s="6">
        <v>0</v>
      </c>
      <c r="J26" s="6"/>
      <c r="K26" s="6"/>
      <c r="L26" s="6"/>
      <c r="N26" s="39"/>
      <c r="O26" s="40"/>
      <c r="P26" s="41"/>
      <c r="S26" s="33"/>
      <c r="T26" s="33"/>
      <c r="U26" s="33"/>
    </row>
    <row r="27" spans="1:21" ht="20.25" customHeight="1" x14ac:dyDescent="0.3">
      <c r="A27" s="3" t="s">
        <v>73</v>
      </c>
      <c r="B27" s="20">
        <f t="shared" si="2"/>
        <v>1</v>
      </c>
      <c r="C27" s="20">
        <f>Culture_Modifier</f>
        <v>0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v>1</v>
      </c>
      <c r="J27" s="20"/>
      <c r="K27" s="20"/>
      <c r="L27" s="20"/>
      <c r="N27" s="39"/>
      <c r="O27" s="40"/>
      <c r="P27" s="41"/>
      <c r="S27" s="34"/>
      <c r="T27" s="34"/>
      <c r="U27" s="34"/>
    </row>
    <row r="28" spans="1:21" ht="20.25" customHeight="1" x14ac:dyDescent="0.3">
      <c r="A28" s="3" t="s">
        <v>74</v>
      </c>
      <c r="B28" s="6">
        <f t="shared" si="2"/>
        <v>1</v>
      </c>
      <c r="C28" s="6">
        <f>Economy_Modifier</f>
        <v>1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v>0</v>
      </c>
      <c r="J28" s="6"/>
      <c r="K28" s="6"/>
      <c r="L28" s="6"/>
      <c r="N28" s="39"/>
      <c r="O28" s="40"/>
      <c r="P28" s="41"/>
      <c r="S28" s="34"/>
      <c r="T28" s="34"/>
      <c r="U28" s="34"/>
    </row>
    <row r="29" spans="1:21" ht="20.25" customHeight="1" x14ac:dyDescent="0.3">
      <c r="A29" s="3" t="s">
        <v>75</v>
      </c>
      <c r="B29" s="20">
        <f t="shared" si="2"/>
        <v>2</v>
      </c>
      <c r="C29" s="20">
        <f>Loyalty_Modifier</f>
        <v>1</v>
      </c>
      <c r="D29" s="20">
        <f>IF(OR(E29,F29,G29,H29),Level+E29*2+F29*2+G29*2+H29*2,0)</f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v>1</v>
      </c>
      <c r="J29" s="20"/>
      <c r="K29" s="20"/>
      <c r="L29" s="20"/>
      <c r="N29" s="39"/>
      <c r="O29" s="40"/>
      <c r="P29" s="41"/>
    </row>
    <row r="30" spans="1:21" ht="20.25" customHeight="1" x14ac:dyDescent="0.3">
      <c r="A30" s="3" t="s">
        <v>76</v>
      </c>
      <c r="B30" s="6">
        <f t="shared" si="2"/>
        <v>4</v>
      </c>
      <c r="C30" s="6">
        <f>Culture_Modifier</f>
        <v>0</v>
      </c>
      <c r="D30" s="6">
        <f t="shared" si="1"/>
        <v>3</v>
      </c>
      <c r="E30" s="9" t="b">
        <v>1</v>
      </c>
      <c r="F30" s="9" t="b">
        <v>0</v>
      </c>
      <c r="G30" s="9" t="b">
        <v>0</v>
      </c>
      <c r="H30" s="10" t="b">
        <v>0</v>
      </c>
      <c r="I30" s="6">
        <v>1</v>
      </c>
      <c r="J30" s="6"/>
      <c r="K30" s="6"/>
      <c r="L30" s="6"/>
      <c r="N30" s="39"/>
      <c r="O30" s="40"/>
      <c r="P30" s="41"/>
    </row>
    <row r="31" spans="1:21" ht="20.25" customHeight="1" x14ac:dyDescent="0.3">
      <c r="A31" s="3" t="s">
        <v>77</v>
      </c>
      <c r="B31" s="20">
        <f t="shared" si="2"/>
        <v>5</v>
      </c>
      <c r="C31" s="20">
        <f>Loyalty_Modifier</f>
        <v>1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v>1</v>
      </c>
      <c r="J31" s="20"/>
      <c r="K31" s="20"/>
      <c r="L31" s="20"/>
      <c r="N31" s="39"/>
      <c r="O31" s="40"/>
      <c r="P31" s="41"/>
    </row>
    <row r="32" spans="1:21" ht="20.25" customHeight="1" x14ac:dyDescent="0.3">
      <c r="A32" s="3" t="s">
        <v>78</v>
      </c>
      <c r="B32" s="6">
        <f t="shared" si="2"/>
        <v>1</v>
      </c>
      <c r="C32" s="6">
        <f>Culture_Modifier</f>
        <v>0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v>1</v>
      </c>
      <c r="J32" s="6"/>
      <c r="K32" s="6"/>
      <c r="L32" s="6"/>
      <c r="N32" s="39"/>
      <c r="O32" s="40"/>
      <c r="P32" s="41"/>
    </row>
    <row r="33" spans="1:21" ht="20.25" customHeight="1" x14ac:dyDescent="0.3">
      <c r="A33" s="3" t="s">
        <v>79</v>
      </c>
      <c r="B33" s="20">
        <f t="shared" si="2"/>
        <v>5</v>
      </c>
      <c r="C33" s="20">
        <f>Loyalty_Modifier</f>
        <v>1</v>
      </c>
      <c r="D33" s="20">
        <f t="shared" si="1"/>
        <v>3</v>
      </c>
      <c r="E33" s="21" t="b">
        <v>1</v>
      </c>
      <c r="F33" s="21" t="b">
        <v>0</v>
      </c>
      <c r="G33" s="21" t="b">
        <v>0</v>
      </c>
      <c r="H33" s="22" t="b">
        <v>0</v>
      </c>
      <c r="I33" s="20">
        <v>1</v>
      </c>
      <c r="J33" s="20"/>
      <c r="K33" s="20"/>
      <c r="L33" s="20"/>
      <c r="N33" s="39"/>
      <c r="O33" s="40"/>
      <c r="P33" s="41"/>
    </row>
    <row r="34" spans="1:21" ht="20.25" customHeight="1" x14ac:dyDescent="0.3">
      <c r="A34" s="3" t="s">
        <v>80</v>
      </c>
      <c r="B34" s="6">
        <f t="shared" si="2"/>
        <v>4</v>
      </c>
      <c r="C34" s="6">
        <f>Economy_Modifier</f>
        <v>1</v>
      </c>
      <c r="D34" s="6">
        <f t="shared" si="1"/>
        <v>3</v>
      </c>
      <c r="E34" s="9" t="b">
        <v>1</v>
      </c>
      <c r="F34" s="9" t="b">
        <v>0</v>
      </c>
      <c r="G34" s="9" t="b">
        <v>0</v>
      </c>
      <c r="H34" s="10" t="b">
        <v>0</v>
      </c>
      <c r="I34" s="6">
        <v>0</v>
      </c>
      <c r="J34" s="6"/>
      <c r="K34" s="6"/>
      <c r="L34" s="6"/>
      <c r="N34" s="39"/>
      <c r="O34" s="40"/>
      <c r="P34" s="41"/>
    </row>
    <row r="35" spans="1:21" ht="20.25" customHeight="1" x14ac:dyDescent="0.3">
      <c r="A35" s="3" t="s">
        <v>81</v>
      </c>
      <c r="B35" s="20">
        <f t="shared" si="2"/>
        <v>2</v>
      </c>
      <c r="C35" s="20">
        <f>Loyalty_Modifier</f>
        <v>1</v>
      </c>
      <c r="D35" s="20">
        <f>IF(OR(E35,F35,G35,H35),Level+E35*2+F35*2+G35*2+H35*2,0)</f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v>1</v>
      </c>
      <c r="J35" s="20"/>
      <c r="K35" s="20"/>
      <c r="L35" s="20"/>
      <c r="N35" s="39"/>
      <c r="O35" s="40"/>
      <c r="P35" s="41"/>
    </row>
    <row r="36" spans="1:21" ht="20.25" customHeight="1" x14ac:dyDescent="0.3">
      <c r="A36" s="3" t="s">
        <v>82</v>
      </c>
      <c r="B36" s="6">
        <f t="shared" si="2"/>
        <v>5</v>
      </c>
      <c r="C36" s="6">
        <f>Stability_Modifier</f>
        <v>1</v>
      </c>
      <c r="D36" s="6">
        <f t="shared" si="1"/>
        <v>3</v>
      </c>
      <c r="E36" s="9" t="b">
        <v>1</v>
      </c>
      <c r="F36" s="9" t="b">
        <v>0</v>
      </c>
      <c r="G36" s="9" t="b">
        <v>0</v>
      </c>
      <c r="H36" s="10" t="b">
        <v>0</v>
      </c>
      <c r="I36" s="6">
        <v>1</v>
      </c>
      <c r="J36" s="6"/>
      <c r="K36" s="6"/>
      <c r="L36" s="6"/>
      <c r="N36" s="39"/>
      <c r="O36" s="40"/>
      <c r="P36" s="41"/>
    </row>
    <row r="37" spans="1:21" ht="20.25" customHeight="1" x14ac:dyDescent="0.3">
      <c r="E37" s="5"/>
      <c r="F37" s="5"/>
      <c r="G37" s="5"/>
      <c r="N37" s="39"/>
      <c r="O37" s="40"/>
      <c r="P37" s="41"/>
    </row>
    <row r="38" spans="1:21" ht="20.25" customHeight="1" x14ac:dyDescent="0.3">
      <c r="B38" s="38" t="s">
        <v>85</v>
      </c>
      <c r="C38" s="38"/>
      <c r="I38" s="38" t="s">
        <v>93</v>
      </c>
      <c r="J38" s="38"/>
      <c r="L38" s="7" t="s">
        <v>80</v>
      </c>
      <c r="N38" s="39"/>
      <c r="O38" s="40"/>
      <c r="P38" s="41"/>
    </row>
    <row r="39" spans="1:21" ht="20.25" customHeight="1" x14ac:dyDescent="0.3">
      <c r="A39" s="3" t="s">
        <v>6</v>
      </c>
      <c r="B39" s="4" t="s">
        <v>86</v>
      </c>
      <c r="C39" s="4" t="s">
        <v>14</v>
      </c>
      <c r="I39" s="3" t="s">
        <v>6</v>
      </c>
      <c r="J39" s="4" t="s">
        <v>98</v>
      </c>
      <c r="L39" s="8" t="s">
        <v>99</v>
      </c>
      <c r="N39" s="39"/>
      <c r="O39" s="40"/>
      <c r="P39" s="41"/>
    </row>
    <row r="40" spans="1:21" ht="20.25" customHeight="1" x14ac:dyDescent="0.3">
      <c r="A40" s="3" t="s">
        <v>87</v>
      </c>
      <c r="B40" s="6">
        <v>1</v>
      </c>
      <c r="C40" s="6">
        <f>4+IF(Size&gt;=10,4,0)+IF(Size&gt;=25,4,0)+IF(Size&gt;=50,4,0)+IF(Size&gt;=100,4,0)</f>
        <v>4</v>
      </c>
      <c r="I40" s="3" t="s">
        <v>94</v>
      </c>
      <c r="J40" s="6"/>
      <c r="L40" s="18">
        <v>1</v>
      </c>
      <c r="N40" s="39"/>
      <c r="O40" s="40"/>
      <c r="P40" s="41"/>
    </row>
    <row r="41" spans="1:21" ht="20.25" customHeight="1" x14ac:dyDescent="0.3">
      <c r="A41" s="3" t="s">
        <v>88</v>
      </c>
      <c r="B41" s="6">
        <v>1</v>
      </c>
      <c r="C41" s="6">
        <f>4+IF(Size&gt;=10,4,0)+IF(Size&gt;=25,4,0)+IF(Size&gt;=50,4,0)+IF(Size&gt;=100,4,0)</f>
        <v>4</v>
      </c>
      <c r="I41" s="3" t="s">
        <v>95</v>
      </c>
      <c r="J41" s="6"/>
      <c r="N41" s="39"/>
      <c r="O41" s="40"/>
      <c r="P41" s="41"/>
    </row>
    <row r="42" spans="1:21" ht="20.25" customHeight="1" x14ac:dyDescent="0.3">
      <c r="A42" s="3" t="s">
        <v>89</v>
      </c>
      <c r="B42" s="6">
        <v>1</v>
      </c>
      <c r="C42" s="6">
        <f>4+IF(Size&gt;=10,4,0)+IF(Size&gt;=25,4,0)+IF(Size&gt;=50,4,0)+IF(Size&gt;=100,4,0)</f>
        <v>4</v>
      </c>
      <c r="I42" s="3" t="s">
        <v>96</v>
      </c>
      <c r="J42" s="6"/>
      <c r="L42" s="7" t="s">
        <v>100</v>
      </c>
      <c r="N42" s="39"/>
      <c r="O42" s="40"/>
      <c r="P42" s="41"/>
    </row>
    <row r="43" spans="1:21" ht="20.25" customHeight="1" x14ac:dyDescent="0.3">
      <c r="A43" s="3" t="s">
        <v>90</v>
      </c>
      <c r="B43" s="6"/>
      <c r="C43" s="6">
        <f>4+IF(Size&gt;=10,4,0)+IF(Size&gt;=25,4,0)+IF(Size&gt;=50,4,0)+IF(Size&gt;=100,4,0)</f>
        <v>4</v>
      </c>
      <c r="I43" s="3" t="s">
        <v>97</v>
      </c>
      <c r="J43" s="6"/>
      <c r="L43" s="8" t="s">
        <v>101</v>
      </c>
      <c r="N43" s="39"/>
      <c r="O43" s="40"/>
      <c r="P43" s="41"/>
    </row>
    <row r="44" spans="1:21" ht="20.25" customHeight="1" x14ac:dyDescent="0.3">
      <c r="A44" s="3" t="s">
        <v>91</v>
      </c>
      <c r="B44" s="6"/>
      <c r="C44" s="6">
        <f>4+IF(Size&gt;=10,4,0)+IF(Size&gt;=25,4,0)+IF(Size&gt;=50,4,0)+IF(Size&gt;=100,4,0)</f>
        <v>4</v>
      </c>
      <c r="L44" s="18"/>
      <c r="N44" s="39"/>
      <c r="O44" s="40"/>
      <c r="P44" s="41"/>
    </row>
    <row r="45" spans="1:21" ht="20.25" customHeight="1" x14ac:dyDescent="0.3">
      <c r="S45" s="5"/>
      <c r="T45" s="5"/>
      <c r="U45" s="5"/>
    </row>
    <row r="46" spans="1:21" s="5" customFormat="1" ht="20.25" customHeight="1" x14ac:dyDescent="0.3">
      <c r="A46" s="38" t="s">
        <v>102</v>
      </c>
      <c r="B46" s="38"/>
      <c r="C46" s="38"/>
      <c r="E46" s="38" t="s">
        <v>103</v>
      </c>
      <c r="F46" s="38"/>
      <c r="G46" s="38"/>
      <c r="H46" s="38"/>
      <c r="I46" s="38"/>
      <c r="J46" s="38"/>
      <c r="K46" s="38"/>
      <c r="M46" s="38" t="s">
        <v>104</v>
      </c>
      <c r="N46" s="38"/>
      <c r="O46" s="38"/>
      <c r="P46" s="38"/>
      <c r="S46" s="1"/>
      <c r="T46" s="1"/>
      <c r="U46" s="1"/>
    </row>
    <row r="47" spans="1:21" ht="20.25" customHeight="1" x14ac:dyDescent="0.3">
      <c r="A47" s="42"/>
      <c r="B47" s="43"/>
      <c r="C47" s="44"/>
      <c r="E47" s="42" t="s">
        <v>105</v>
      </c>
      <c r="F47" s="43"/>
      <c r="G47" s="43"/>
      <c r="H47" s="43"/>
      <c r="I47" s="43"/>
      <c r="J47" s="43"/>
      <c r="K47" s="44"/>
      <c r="M47" s="35"/>
      <c r="N47" s="35"/>
      <c r="O47" s="35"/>
      <c r="P47" s="35"/>
    </row>
    <row r="48" spans="1:21" ht="20.25" customHeight="1" x14ac:dyDescent="0.3">
      <c r="A48" s="42"/>
      <c r="B48" s="43"/>
      <c r="C48" s="44"/>
      <c r="E48" s="42"/>
      <c r="F48" s="43"/>
      <c r="G48" s="43"/>
      <c r="H48" s="43"/>
      <c r="I48" s="43"/>
      <c r="J48" s="43"/>
      <c r="K48" s="44"/>
      <c r="M48" s="35"/>
      <c r="N48" s="35"/>
      <c r="O48" s="35"/>
      <c r="P48" s="35"/>
    </row>
    <row r="49" spans="1:16" ht="20.25" customHeight="1" x14ac:dyDescent="0.3">
      <c r="A49" s="42"/>
      <c r="B49" s="43"/>
      <c r="C49" s="44"/>
      <c r="E49" s="42"/>
      <c r="F49" s="43"/>
      <c r="G49" s="43"/>
      <c r="H49" s="43"/>
      <c r="I49" s="43"/>
      <c r="J49" s="43"/>
      <c r="K49" s="44"/>
      <c r="M49" s="35"/>
      <c r="N49" s="35"/>
      <c r="O49" s="35"/>
      <c r="P49" s="35"/>
    </row>
    <row r="50" spans="1:16" ht="20.25" customHeight="1" x14ac:dyDescent="0.3">
      <c r="A50" s="42"/>
      <c r="B50" s="43"/>
      <c r="C50" s="44"/>
      <c r="E50" s="42"/>
      <c r="F50" s="43"/>
      <c r="G50" s="43"/>
      <c r="H50" s="43"/>
      <c r="I50" s="43"/>
      <c r="J50" s="43"/>
      <c r="K50" s="44"/>
      <c r="M50" s="35"/>
      <c r="N50" s="35"/>
      <c r="O50" s="35"/>
      <c r="P50" s="35"/>
    </row>
  </sheetData>
  <mergeCells count="90">
    <mergeCell ref="E2:H2"/>
    <mergeCell ref="E4:H4"/>
    <mergeCell ref="N1:P1"/>
    <mergeCell ref="N12:P12"/>
    <mergeCell ref="N13:P13"/>
    <mergeCell ref="N14:P14"/>
    <mergeCell ref="N15:P15"/>
    <mergeCell ref="B1:D1"/>
    <mergeCell ref="B2:D2"/>
    <mergeCell ref="B3:D3"/>
    <mergeCell ref="B5:D5"/>
    <mergeCell ref="B4:D4"/>
    <mergeCell ref="N26:P26"/>
    <mergeCell ref="N23:P23"/>
    <mergeCell ref="N24:P24"/>
    <mergeCell ref="N25:P25"/>
    <mergeCell ref="B9:D9"/>
    <mergeCell ref="N16:P16"/>
    <mergeCell ref="N17:P17"/>
    <mergeCell ref="I9:L9"/>
    <mergeCell ref="N40:P40"/>
    <mergeCell ref="N37:P37"/>
    <mergeCell ref="N34:P34"/>
    <mergeCell ref="N35:P35"/>
    <mergeCell ref="N36:P36"/>
    <mergeCell ref="N39:P39"/>
    <mergeCell ref="N38:P38"/>
    <mergeCell ref="A49:C49"/>
    <mergeCell ref="A50:C50"/>
    <mergeCell ref="A46:C46"/>
    <mergeCell ref="E46:K46"/>
    <mergeCell ref="M46:P46"/>
    <mergeCell ref="A47:C47"/>
    <mergeCell ref="A48:C48"/>
    <mergeCell ref="M47:P47"/>
    <mergeCell ref="M48:P48"/>
    <mergeCell ref="M50:P50"/>
    <mergeCell ref="E47:K47"/>
    <mergeCell ref="E48:K48"/>
    <mergeCell ref="E49:K49"/>
    <mergeCell ref="E50:K50"/>
    <mergeCell ref="N41:P41"/>
    <mergeCell ref="N42:P42"/>
    <mergeCell ref="N43:P43"/>
    <mergeCell ref="N44:P44"/>
    <mergeCell ref="M49:P49"/>
    <mergeCell ref="B38:C38"/>
    <mergeCell ref="B16:D16"/>
    <mergeCell ref="I18:J18"/>
    <mergeCell ref="I17:J17"/>
    <mergeCell ref="I16:J16"/>
    <mergeCell ref="S2:U2"/>
    <mergeCell ref="S3:U3"/>
    <mergeCell ref="S4:U4"/>
    <mergeCell ref="S5:U5"/>
    <mergeCell ref="I38:J38"/>
    <mergeCell ref="N29:P29"/>
    <mergeCell ref="N30:P30"/>
    <mergeCell ref="N31:P31"/>
    <mergeCell ref="N32:P32"/>
    <mergeCell ref="N33:P33"/>
    <mergeCell ref="N27:P27"/>
    <mergeCell ref="N28:P28"/>
    <mergeCell ref="N18:P18"/>
    <mergeCell ref="N19:P19"/>
    <mergeCell ref="N20:P20"/>
    <mergeCell ref="N21:P21"/>
    <mergeCell ref="S6:U6"/>
    <mergeCell ref="S7:U7"/>
    <mergeCell ref="S8:U8"/>
    <mergeCell ref="S9:U9"/>
    <mergeCell ref="S10:U10"/>
    <mergeCell ref="S11:U11"/>
    <mergeCell ref="S12:U12"/>
    <mergeCell ref="S13:U13"/>
    <mergeCell ref="S14:U14"/>
    <mergeCell ref="S15:U15"/>
    <mergeCell ref="S16:U16"/>
    <mergeCell ref="S17:U17"/>
    <mergeCell ref="S18:U18"/>
    <mergeCell ref="S19:U19"/>
    <mergeCell ref="S20:U20"/>
    <mergeCell ref="S26:U26"/>
    <mergeCell ref="S27:U27"/>
    <mergeCell ref="S28:U28"/>
    <mergeCell ref="S21:U21"/>
    <mergeCell ref="S22:U22"/>
    <mergeCell ref="S23:U23"/>
    <mergeCell ref="S24:U24"/>
    <mergeCell ref="S25:U25"/>
  </mergeCells>
  <dataValidations count="4">
    <dataValidation type="list" allowBlank="1" showInputMessage="1" showErrorMessage="1" sqref="B2:D2" xr:uid="{3C9B5253-06BB-4876-B9B1-674C45169828}">
      <formula1>"Pick One,Conquest,Exploration,Expansion,Grant,Open"</formula1>
    </dataValidation>
    <dataValidation type="list" allowBlank="1" showInputMessage="1" showErrorMessage="1" sqref="B3:D3" xr:uid="{5C5A2356-925A-4F53-BF08-68D19EE0D7EB}">
      <formula1>"Pick One,Forest,Swamp,Hill,Plain,Lake,River,Mountain,Ruins"</formula1>
    </dataValidation>
    <dataValidation type="list" allowBlank="1" showInputMessage="1" showErrorMessage="1" sqref="B4:D4" xr:uid="{CA763D27-49D6-46AF-9392-370877CEADCD}">
      <formula1>"Depotism,Feudalism,Oligarchy,Republic,Thaumocracy,Yeomanry"</formula1>
    </dataValidation>
    <dataValidation type="list" allowBlank="1" showInputMessage="1" showErrorMessage="1" sqref="E2:H2 E4:H4" xr:uid="{D52A293F-5277-4173-9052-A2F64B29B830}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33</xdr:row>
                    <xdr:rowOff>19050</xdr:rowOff>
                  </from>
                  <to>
                    <xdr:col>7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DE6B4-6B30-4D7D-A79A-DED9EEDB1AD2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1" t="s">
        <v>109</v>
      </c>
      <c r="E1" s="51"/>
      <c r="F1" s="51"/>
      <c r="G1" s="30"/>
      <c r="H1" s="31" t="s">
        <v>15</v>
      </c>
      <c r="I1" s="32">
        <v>1</v>
      </c>
      <c r="J1" s="30"/>
      <c r="K1" s="52" t="s">
        <v>110</v>
      </c>
      <c r="L1" s="52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108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49" t="s">
        <v>107</v>
      </c>
      <c r="I15" s="50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48" t="s">
        <v>106</v>
      </c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32266FA9-3319-439D-B1D8-9928D8C23962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36</vt:i4>
      </vt:variant>
    </vt:vector>
  </HeadingPairs>
  <TitlesOfParts>
    <vt:vector size="38" baseType="lpstr">
      <vt:lpstr>Kingdom</vt:lpstr>
      <vt:lpstr>Urban Grid</vt:lpstr>
      <vt:lpstr>Agriculture_Trained</vt:lpstr>
      <vt:lpstr>Charter</vt:lpstr>
      <vt:lpstr>Charter_boost</vt:lpstr>
      <vt:lpstr>Conquest</vt:lpstr>
      <vt:lpstr>Culture</vt:lpstr>
      <vt:lpstr>Culture_Modifier</vt:lpstr>
      <vt:lpstr>Depotism</vt:lpstr>
      <vt:lpstr>Despotism</vt:lpstr>
      <vt:lpstr>Economy</vt:lpstr>
      <vt:lpstr>Economy_Modifier</vt:lpstr>
      <vt:lpstr>Expansion</vt:lpstr>
      <vt:lpstr>Exploration</vt:lpstr>
      <vt:lpstr>Feudalism</vt:lpstr>
      <vt:lpstr>Forest</vt:lpstr>
      <vt:lpstr>Government</vt:lpstr>
      <vt:lpstr>Government_boost</vt:lpstr>
      <vt:lpstr>Grant</vt:lpstr>
      <vt:lpstr>Heartland</vt:lpstr>
      <vt:lpstr>Hill</vt:lpstr>
      <vt:lpstr>Lake</vt:lpstr>
      <vt:lpstr>Level</vt:lpstr>
      <vt:lpstr>Loyalty</vt:lpstr>
      <vt:lpstr>Loyalty_Modifier</vt:lpstr>
      <vt:lpstr>Mountain</vt:lpstr>
      <vt:lpstr>Oligarchy</vt:lpstr>
      <vt:lpstr>Open</vt:lpstr>
      <vt:lpstr>Plain</vt:lpstr>
      <vt:lpstr>Republic</vt:lpstr>
      <vt:lpstr>River</vt:lpstr>
      <vt:lpstr>Ruins</vt:lpstr>
      <vt:lpstr>Size</vt:lpstr>
      <vt:lpstr>Stability</vt:lpstr>
      <vt:lpstr>Stability_Modifier</vt:lpstr>
      <vt:lpstr>Swamp</vt:lpstr>
      <vt:lpstr>Thaumocracy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2024-03-12T20:15:29Z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