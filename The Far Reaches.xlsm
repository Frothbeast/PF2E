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192E7182-D89D-4CA5-A325-F913F8E496FF}" xr6:coauthVersionLast="47" xr6:coauthVersionMax="47" xr10:uidLastSave="{00000000-0000-0000-0000-000000000000}"/>
  <bookViews>
    <workbookView xWindow="3945" yWindow="495" windowWidth="21720" windowHeight="1560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IncreaseSkills">Kingdom!$U$30:$V$48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ize">Kingdom!$J$5</definedName>
    <definedName name="Stability">Kingdom!$C$14</definedName>
    <definedName name="Stability_Modifier">Kingdom!$B$14</definedName>
    <definedName name="Statecraft">Kingdom!$A$33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1" l="1"/>
  <c r="B18" i="1" s="1"/>
  <c r="I34" i="1"/>
  <c r="I28" i="1"/>
  <c r="I26" i="1"/>
  <c r="I23" i="1"/>
  <c r="I36" i="1"/>
  <c r="I25" i="1"/>
  <c r="I24" i="1"/>
  <c r="I21" i="1"/>
  <c r="I32" i="1"/>
  <c r="I30" i="1"/>
  <c r="I27" i="1"/>
  <c r="I22" i="1"/>
  <c r="I35" i="1"/>
  <c r="I33" i="1"/>
  <c r="I31" i="1"/>
  <c r="I29" i="1"/>
  <c r="D35" i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00000000-0006-0000-0000-000001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00000000-0006-0000-0000-000002000000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00000000-0006-0000-0000-000003000000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00000000-0006-0000-0000-000004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00000000-0006-0000-0000-000005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00000000-0006-0000-0000-000006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00000000-0006-0000-0000-000007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00000000-0006-0000-0000-000008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00000000-0006-0000-0000-000009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00000000-0006-0000-0000-00000A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00000000-0006-0000-0000-00000B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00000000-0006-0000-0000-00000C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00000000-0006-0000-0000-00000D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00000000-0006-0000-0000-00000E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00000000-0006-0000-0000-00000F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00000000-0006-0000-0000-000010000000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<sst xmlns="http://schemas.openxmlformats.org/spreadsheetml/2006/main" count="169" uniqueCount="133">
  <si>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</si>
  <si>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</si>
  <si>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</si>
  <si>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</si>
  <si>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</si>
  <si>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</si>
  <si>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</si>
  <si>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</si>
  <si>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</si>
  <si>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</si>
  <si>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</si>
  <si>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</si>
  <si>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</si>
  <si>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</si>
  <si>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</si>
  <si>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</si>
  <si>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</si>
  <si>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</si>
  <si>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</si>
  <si>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</si>
  <si>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</si>
  <si>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</si>
  <si>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</si>
  <si>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</si>
  <si>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</si>
  <si>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</si>
  <si>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</si>
  <si>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</si>
  <si>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</si>
  <si>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</si>
  <si>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</si>
  <si>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</si>
  <si>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</si>
  <si>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</si>
  <si>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</si>
  <si>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</si>
  <si>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</si>
  <si>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</si>
  <si>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</si>
  <si>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</si>
  <si>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</si>
  <si>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</si>
  <si>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</si>
  <si>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</si>
  <si>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</si>
  <si>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</si>
  <si>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</si>
  <si>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</si>
  <si>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</si>
  <si>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</si>
  <si>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</si>
  <si>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</si>
  <si>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</si>
  <si>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</si>
  <si>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</si>
  <si>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</si>
  <si>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</si>
  <si>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</si>
  <si>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</si>
  <si>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</si>
  <si>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</si>
  <si>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</si>
  <si>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</si>
  <si>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</si>
  <si>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</si>
  <si>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</si>
  <si>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</si>
  <si>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</si>
  <si>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</si>
  <si>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</si>
  <si>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</si>
  <si>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</si>
  <si>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</si>
  <si>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</si>
  <si>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</si>
  <si>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</si>
  <si>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</si>
  <si>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</si>
  <si>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</si>
  <si>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</si>
  <si>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</si>
  <si>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</si>
  <si>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</si>
  <si>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</si>
  <si>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</si>
  <si>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</si>
  <si>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</si>
  <si>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</si>
  <si>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</si>
  <si>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</si>
  <si>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</si>
  <si>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</si>
  <si>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</si>
  <si>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</si>
  <si>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</si>
  <si>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</si>
  <si>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</si>
  <si>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</si>
  <si>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</si>
  <si>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</si>
  <si>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</si>
  <si>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</si>
  <si>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</si>
  <si>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</si>
  <si>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</si>
  <si>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</si>
  <si>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</si>
  <si>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</si>
  <si>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</si>
  <si>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</si>
  <si>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</si>
  <si>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</si>
  <si>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</si>
  <si>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</si>
  <si>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</si>
  <si>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</si>
  <si>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</si>
  <si>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</si>
  <si>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</si>
  <si>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</si>
  <si>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</si>
  <si>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</si>
  <si>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</si>
  <si>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</si>
  <si>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</si>
  <si>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</si>
  <si>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</si>
  <si>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</si>
  <si>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Crush Dissent</t>
  </si>
  <si>
    <t>Bravoy</t>
  </si>
  <si>
    <t>Level increases</t>
  </si>
  <si>
    <t xml:space="preserve">Level  </t>
  </si>
  <si>
    <t>Skill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</si>
</sst>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checked="Checked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checked="Checked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2886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2887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2888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2889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2890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2891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2892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2893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2894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2895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2896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2897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2898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2899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2900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2901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2902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2903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2904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2905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2906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2907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2908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2909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2910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2911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2912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2913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2914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2915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2916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2917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2918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2919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2920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2921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2922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2923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2924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2925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2926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2927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2928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2929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2930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2931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2932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2933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2934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2935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2936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2937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2938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7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2939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7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2940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7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2941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7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2942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7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2943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7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2944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8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2945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8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2946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8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2947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8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0"/>
  <sheetViews>
    <sheetView tabSelected="1" zoomScale="75" zoomScaleNormal="75" workbookViewId="0">
      <selection activeCell="U31" sqref="U31:V31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4" ht="20.25" customHeight="1" x14ac:dyDescent="0.3">
      <c r="A1" s="13" t="s">
        <v>0</v>
      </c>
      <c r="B1" s="42" t="s">
        <v>51</v>
      </c>
      <c r="C1" s="42"/>
      <c r="D1" s="42"/>
      <c r="E1" s="12"/>
      <c r="F1" s="12"/>
      <c r="G1" s="12"/>
      <c r="H1" s="11"/>
      <c r="I1" s="12"/>
      <c r="J1" s="13" t="s">
        <v>15</v>
      </c>
      <c r="K1" s="14">
        <v>1</v>
      </c>
      <c r="L1" s="13" t="s">
        <v>16</v>
      </c>
      <c r="M1" s="14">
        <v>0</v>
      </c>
      <c r="O1" s="35" t="s">
        <v>20</v>
      </c>
      <c r="P1" s="35"/>
      <c r="Q1" s="35"/>
      <c r="X1" s="1" t="s">
        <v>110</v>
      </c>
    </row>
    <row r="2" spans="1:24" ht="20.25" customHeight="1" x14ac:dyDescent="0.3">
      <c r="A2" s="13" t="s">
        <v>1</v>
      </c>
      <c r="B2" s="42" t="s">
        <v>52</v>
      </c>
      <c r="C2" s="42"/>
      <c r="D2" s="42"/>
      <c r="E2" s="34" t="s">
        <v>23</v>
      </c>
      <c r="F2" s="34"/>
      <c r="G2" s="34"/>
      <c r="H2" s="34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50" t="s">
        <v>108</v>
      </c>
      <c r="U2" s="50"/>
      <c r="V2" s="50"/>
      <c r="X2" s="1" t="s">
        <v>110</v>
      </c>
    </row>
    <row r="3" spans="1:24" ht="20.25" customHeight="1" x14ac:dyDescent="0.3">
      <c r="A3" s="13" t="s">
        <v>2</v>
      </c>
      <c r="B3" s="42" t="s">
        <v>53</v>
      </c>
      <c r="C3" s="42"/>
      <c r="D3" s="42"/>
      <c r="O3" s="6" t="b">
        <v>1</v>
      </c>
      <c r="P3" s="6" t="s">
        <v>30</v>
      </c>
      <c r="Q3" s="6" t="s">
        <v>38</v>
      </c>
      <c r="T3" s="47" t="s">
        <v>113</v>
      </c>
      <c r="U3" s="47"/>
      <c r="V3" s="47"/>
    </row>
    <row r="4" spans="1:24" ht="20.25" customHeight="1" x14ac:dyDescent="0.3">
      <c r="A4" s="13" t="s">
        <v>3</v>
      </c>
      <c r="B4" s="42" t="s">
        <v>110</v>
      </c>
      <c r="C4" s="42"/>
      <c r="D4" s="42"/>
      <c r="E4" s="34" t="s">
        <v>22</v>
      </c>
      <c r="F4" s="34"/>
      <c r="G4" s="34"/>
      <c r="H4" s="34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47" t="s">
        <v>109</v>
      </c>
      <c r="U4" s="47"/>
      <c r="V4" s="47"/>
    </row>
    <row r="5" spans="1:24" ht="20.25" customHeight="1" x14ac:dyDescent="0.3">
      <c r="A5" s="13" t="s">
        <v>4</v>
      </c>
      <c r="B5" s="42" t="s">
        <v>55</v>
      </c>
      <c r="C5" s="42"/>
      <c r="D5" s="42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47" t="s">
        <v>110</v>
      </c>
      <c r="U5" s="47"/>
      <c r="V5" s="47"/>
    </row>
    <row r="6" spans="1:24" ht="20.25" customHeight="1" x14ac:dyDescent="0.3">
      <c r="N6" s="16"/>
      <c r="O6" s="6" t="b">
        <v>0</v>
      </c>
      <c r="P6" s="6" t="s">
        <v>33</v>
      </c>
      <c r="Q6" s="6" t="s">
        <v>41</v>
      </c>
      <c r="T6" s="47" t="s">
        <v>54</v>
      </c>
      <c r="U6" s="47"/>
      <c r="V6" s="47"/>
    </row>
    <row r="7" spans="1:24" ht="20.25" customHeight="1" x14ac:dyDescent="0.3">
      <c r="N7" s="11"/>
      <c r="O7" s="6" t="b">
        <v>1</v>
      </c>
      <c r="P7" s="6" t="s">
        <v>34</v>
      </c>
      <c r="Q7" s="6" t="s">
        <v>42</v>
      </c>
      <c r="T7" s="47" t="s">
        <v>111</v>
      </c>
      <c r="U7" s="47"/>
      <c r="V7" s="47"/>
    </row>
    <row r="8" spans="1:24" ht="20.25" customHeight="1" x14ac:dyDescent="0.3">
      <c r="N8" s="11"/>
      <c r="O8" s="6" t="b">
        <v>0</v>
      </c>
      <c r="P8" s="6" t="s">
        <v>35</v>
      </c>
      <c r="Q8" s="6"/>
      <c r="T8" s="47" t="s">
        <v>112</v>
      </c>
      <c r="U8" s="47"/>
      <c r="V8" s="47"/>
    </row>
    <row r="9" spans="1:24" ht="20.25" customHeight="1" x14ac:dyDescent="0.3">
      <c r="A9" s="11"/>
      <c r="B9" s="35" t="s">
        <v>18</v>
      </c>
      <c r="C9" s="35"/>
      <c r="D9" s="35"/>
      <c r="E9" s="15"/>
      <c r="F9" s="15"/>
      <c r="G9" s="15"/>
      <c r="H9" s="16"/>
      <c r="I9" s="15"/>
      <c r="J9" s="35" t="s">
        <v>19</v>
      </c>
      <c r="K9" s="35"/>
      <c r="L9" s="35"/>
      <c r="M9" s="35"/>
      <c r="N9" s="11"/>
      <c r="O9" s="6" t="b">
        <v>0</v>
      </c>
      <c r="P9" s="6" t="s">
        <v>36</v>
      </c>
      <c r="Q9" s="6" t="s">
        <v>43</v>
      </c>
      <c r="T9" s="51"/>
      <c r="U9" s="51"/>
      <c r="V9" s="51"/>
    </row>
    <row r="10" spans="1:24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50" t="s">
        <v>114</v>
      </c>
      <c r="U10" s="50"/>
      <c r="V10" s="50"/>
    </row>
    <row r="11" spans="1:24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47" t="s">
        <v>115</v>
      </c>
      <c r="U11" s="47"/>
      <c r="V11" s="47"/>
    </row>
    <row r="12" spans="1:24" ht="20.25" customHeight="1" x14ac:dyDescent="0.3">
      <c r="A12" s="11"/>
      <c r="B12" s="6">
        <f t="shared" ref="B12:B14" si="0">IF(D12="","",ROUNDDOWN((D12-10)/2,0))</f>
        <v>1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12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36" t="s">
        <v>82</v>
      </c>
      <c r="P12" s="37"/>
      <c r="Q12" s="38"/>
      <c r="T12" s="47" t="s">
        <v>116</v>
      </c>
      <c r="U12" s="47"/>
      <c r="V12" s="47"/>
    </row>
    <row r="13" spans="1:24" ht="20.25" customHeight="1" x14ac:dyDescent="0.3">
      <c r="A13" s="11"/>
      <c r="B13" s="6">
        <f t="shared" si="0"/>
        <v>1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12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9" t="s">
        <v>90</v>
      </c>
      <c r="P13" s="40"/>
      <c r="Q13" s="41"/>
      <c r="T13" s="47" t="s">
        <v>117</v>
      </c>
      <c r="U13" s="47"/>
      <c r="V13" s="47"/>
    </row>
    <row r="14" spans="1:24" ht="20.25" customHeight="1" x14ac:dyDescent="0.3">
      <c r="A14" s="11"/>
      <c r="B14" s="6">
        <f t="shared" si="0"/>
        <v>2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14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9"/>
      <c r="P14" s="40"/>
      <c r="Q14" s="41"/>
      <c r="T14" s="47" t="s">
        <v>118</v>
      </c>
      <c r="U14" s="47"/>
      <c r="V14" s="47"/>
    </row>
    <row r="15" spans="1:24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9"/>
      <c r="P15" s="40"/>
      <c r="Q15" s="41"/>
      <c r="T15" s="47" t="s">
        <v>52</v>
      </c>
      <c r="U15" s="47"/>
      <c r="V15" s="47"/>
    </row>
    <row r="16" spans="1:24" ht="20.25" customHeight="1" x14ac:dyDescent="0.3">
      <c r="A16" s="11"/>
      <c r="B16" s="39" t="s">
        <v>26</v>
      </c>
      <c r="C16" s="40"/>
      <c r="D16" s="41"/>
      <c r="E16" s="12"/>
      <c r="F16" s="12"/>
      <c r="G16" s="12"/>
      <c r="H16" s="11"/>
      <c r="I16" s="12"/>
      <c r="J16" s="39" t="s">
        <v>49</v>
      </c>
      <c r="K16" s="41"/>
      <c r="L16" s="6">
        <v>-1</v>
      </c>
      <c r="M16" s="11"/>
      <c r="O16" s="39"/>
      <c r="P16" s="40"/>
      <c r="Q16" s="41"/>
      <c r="T16" s="51"/>
      <c r="U16" s="51"/>
      <c r="V16" s="51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9" t="s">
        <v>9</v>
      </c>
      <c r="K17" s="41"/>
      <c r="L17" s="6">
        <f>ABS(ROUNDDOWN(L16/5,0))</f>
        <v>0</v>
      </c>
      <c r="M17" s="11"/>
      <c r="O17" s="39"/>
      <c r="P17" s="40"/>
      <c r="Q17" s="41"/>
      <c r="T17" s="50" t="s">
        <v>2</v>
      </c>
      <c r="U17" s="50"/>
      <c r="V17" s="50"/>
    </row>
    <row r="18" spans="1:22" ht="20.25" customHeight="1" x14ac:dyDescent="0.3">
      <c r="A18" s="12"/>
      <c r="B18" s="6">
        <f>C18+D18</f>
        <v>0</v>
      </c>
      <c r="C18" s="6"/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9" t="s">
        <v>50</v>
      </c>
      <c r="K18" s="41"/>
      <c r="L18" s="6">
        <v>1</v>
      </c>
      <c r="M18" s="11"/>
      <c r="O18" s="39"/>
      <c r="P18" s="40"/>
      <c r="Q18" s="41"/>
      <c r="T18" s="47" t="s">
        <v>119</v>
      </c>
      <c r="U18" s="47"/>
      <c r="V18" s="47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8" t="s">
        <v>127</v>
      </c>
      <c r="O19" s="39"/>
      <c r="P19" s="40"/>
      <c r="Q19" s="41"/>
      <c r="T19" s="47" t="s">
        <v>120</v>
      </c>
      <c r="U19" s="47"/>
      <c r="V19" s="47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9"/>
      <c r="J20" s="4" t="s">
        <v>59</v>
      </c>
      <c r="K20" s="4" t="s">
        <v>60</v>
      </c>
      <c r="L20" s="4" t="s">
        <v>61</v>
      </c>
      <c r="M20" s="4" t="s">
        <v>62</v>
      </c>
      <c r="O20" s="36" t="s">
        <v>126</v>
      </c>
      <c r="P20" s="37"/>
      <c r="Q20" s="38"/>
      <c r="T20" s="47" t="s">
        <v>121</v>
      </c>
      <c r="U20" s="47"/>
      <c r="V20" s="47"/>
    </row>
    <row r="21" spans="1:22" ht="20.25" customHeight="1" x14ac:dyDescent="0.3">
      <c r="A21" s="3" t="s">
        <v>56</v>
      </c>
      <c r="B21" s="20">
        <f>C21+D21+I21+J21+K21+L21+M21</f>
        <v>3</v>
      </c>
      <c r="C21" s="20">
        <f>Stability_Modifier</f>
        <v>2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9" t="s">
        <v>128</v>
      </c>
      <c r="P21" s="40"/>
      <c r="Q21" s="41"/>
      <c r="T21" s="47" t="s">
        <v>122</v>
      </c>
      <c r="U21" s="47"/>
      <c r="V21" s="47"/>
    </row>
    <row r="22" spans="1:22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47" t="s">
        <v>123</v>
      </c>
      <c r="U22" s="47"/>
      <c r="V22" s="47"/>
    </row>
    <row r="23" spans="1:22" ht="20.25" customHeight="1" x14ac:dyDescent="0.3">
      <c r="A23" s="3" t="s">
        <v>68</v>
      </c>
      <c r="B23" s="20">
        <f t="shared" si="2"/>
        <v>2</v>
      </c>
      <c r="C23" s="20">
        <f>Economy_Modifier</f>
        <v>1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36" t="s">
        <v>81</v>
      </c>
      <c r="P23" s="37"/>
      <c r="Q23" s="38"/>
      <c r="T23" s="47" t="s">
        <v>124</v>
      </c>
      <c r="U23" s="47"/>
      <c r="V23" s="47"/>
    </row>
    <row r="24" spans="1:22" ht="20.25" customHeight="1" x14ac:dyDescent="0.3">
      <c r="A24" s="3" t="s">
        <v>69</v>
      </c>
      <c r="B24" s="6">
        <f t="shared" si="2"/>
        <v>3</v>
      </c>
      <c r="C24" s="6">
        <f>Stability_Modifier</f>
        <v>2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39"/>
      <c r="P24" s="40"/>
      <c r="Q24" s="41"/>
      <c r="T24" s="47" t="s">
        <v>125</v>
      </c>
      <c r="U24" s="47"/>
      <c r="V24" s="47"/>
    </row>
    <row r="25" spans="1:22" ht="20.25" customHeight="1" x14ac:dyDescent="0.3">
      <c r="A25" s="3" t="s">
        <v>70</v>
      </c>
      <c r="B25" s="20">
        <f t="shared" si="2"/>
        <v>3</v>
      </c>
      <c r="C25" s="20">
        <f>Stability_Modifier</f>
        <v>2</v>
      </c>
      <c r="D25" s="20">
        <f t="shared" si="1"/>
        <v>0</v>
      </c>
      <c r="E25" s="21" t="b">
        <v>0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9"/>
      <c r="P25" s="40"/>
      <c r="Q25" s="41"/>
      <c r="T25" s="54" t="s">
        <v>53</v>
      </c>
      <c r="U25" s="54"/>
      <c r="V25" s="54"/>
    </row>
    <row r="26" spans="1:22" ht="20.25" customHeight="1" x14ac:dyDescent="0.3">
      <c r="A26" s="3" t="s">
        <v>52</v>
      </c>
      <c r="B26" s="6">
        <f t="shared" si="2"/>
        <v>1</v>
      </c>
      <c r="C26" s="6">
        <f>Economy_Modifier</f>
        <v>1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9"/>
      <c r="P26" s="40"/>
      <c r="Q26" s="41"/>
      <c r="T26" s="52"/>
      <c r="U26" s="52"/>
      <c r="V26" s="52"/>
    </row>
    <row r="27" spans="1:22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9"/>
      <c r="P27" s="40"/>
      <c r="Q27" s="41"/>
      <c r="T27" s="51"/>
      <c r="U27" s="51"/>
      <c r="V27" s="51"/>
    </row>
    <row r="28" spans="1:22" ht="20.25" customHeight="1" x14ac:dyDescent="0.3">
      <c r="A28" s="3" t="s">
        <v>72</v>
      </c>
      <c r="B28" s="6">
        <f t="shared" si="2"/>
        <v>1</v>
      </c>
      <c r="C28" s="6">
        <f>Economy_Modifier</f>
        <v>1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39"/>
      <c r="P28" s="40"/>
      <c r="Q28" s="41"/>
      <c r="T28" s="53" t="s">
        <v>130</v>
      </c>
      <c r="U28" s="53"/>
      <c r="V28" s="53"/>
    </row>
    <row r="29" spans="1:22" ht="20.25" customHeight="1" x14ac:dyDescent="0.3">
      <c r="A29" s="3" t="s">
        <v>73</v>
      </c>
      <c r="B29" s="20">
        <f t="shared" si="2"/>
        <v>5</v>
      </c>
      <c r="C29" s="20">
        <f>Loyalty_Modifier</f>
        <v>1</v>
      </c>
      <c r="D29" s="20">
        <f t="shared" si="1"/>
        <v>3</v>
      </c>
      <c r="E29" s="21" t="b">
        <v>1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9"/>
      <c r="P29" s="40"/>
      <c r="Q29" s="41"/>
      <c r="T29" s="6" t="s">
        <v>131</v>
      </c>
      <c r="U29" s="33" t="s">
        <v>132</v>
      </c>
      <c r="V29" s="33"/>
    </row>
    <row r="30" spans="1:22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9"/>
      <c r="P30" s="40"/>
      <c r="Q30" s="41"/>
      <c r="T30" s="6">
        <v>2</v>
      </c>
      <c r="U30" s="33" t="s">
        <v>67</v>
      </c>
      <c r="V30" s="33"/>
    </row>
    <row r="31" spans="1:22" ht="20.25" customHeight="1" x14ac:dyDescent="0.3">
      <c r="A31" s="3" t="s">
        <v>75</v>
      </c>
      <c r="B31" s="20">
        <f t="shared" si="2"/>
        <v>2</v>
      </c>
      <c r="C31" s="20">
        <f>Loyalty_Modifier</f>
        <v>1</v>
      </c>
      <c r="D31" s="20">
        <f t="shared" si="1"/>
        <v>0</v>
      </c>
      <c r="E31" s="21" t="b">
        <v>0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9"/>
      <c r="P31" s="40"/>
      <c r="Q31" s="41"/>
      <c r="T31" s="6">
        <v>3</v>
      </c>
      <c r="U31" s="33" t="s">
        <v>56</v>
      </c>
      <c r="V31" s="33"/>
    </row>
    <row r="32" spans="1:22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39"/>
      <c r="P32" s="40"/>
      <c r="Q32" s="41"/>
      <c r="T32" s="6">
        <v>4</v>
      </c>
      <c r="U32" s="33"/>
      <c r="V32" s="33"/>
    </row>
    <row r="33" spans="1:22" ht="20.25" customHeight="1" x14ac:dyDescent="0.3">
      <c r="A33" s="3" t="s">
        <v>77</v>
      </c>
      <c r="B33" s="20">
        <f t="shared" si="2"/>
        <v>2</v>
      </c>
      <c r="C33" s="20">
        <f>Loyalty_Modifier</f>
        <v>1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9"/>
      <c r="P33" s="40"/>
      <c r="Q33" s="41"/>
      <c r="T33" s="6">
        <v>5</v>
      </c>
      <c r="U33" s="33"/>
      <c r="V33" s="33"/>
    </row>
    <row r="34" spans="1:22" ht="20.25" customHeight="1" x14ac:dyDescent="0.3">
      <c r="A34" s="3" t="s">
        <v>78</v>
      </c>
      <c r="B34" s="6">
        <f t="shared" si="2"/>
        <v>1</v>
      </c>
      <c r="C34" s="6">
        <f>Economy_Modifier</f>
        <v>1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9"/>
      <c r="P34" s="40"/>
      <c r="Q34" s="41"/>
      <c r="T34" s="6">
        <v>6</v>
      </c>
      <c r="U34" s="33" t="s">
        <v>67</v>
      </c>
      <c r="V34" s="33"/>
    </row>
    <row r="35" spans="1:22" ht="20.25" customHeight="1" x14ac:dyDescent="0.3">
      <c r="A35" s="3" t="s">
        <v>79</v>
      </c>
      <c r="B35" s="20">
        <f t="shared" si="2"/>
        <v>5</v>
      </c>
      <c r="C35" s="20">
        <f>Loyalty_Modifier</f>
        <v>1</v>
      </c>
      <c r="D35" s="20">
        <f t="shared" si="1"/>
        <v>3</v>
      </c>
      <c r="E35" s="21" t="b">
        <v>1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9"/>
      <c r="P35" s="40"/>
      <c r="Q35" s="41"/>
      <c r="T35" s="6">
        <v>7</v>
      </c>
      <c r="U35" s="33" t="s">
        <v>67</v>
      </c>
      <c r="V35" s="33"/>
    </row>
    <row r="36" spans="1:22" ht="20.25" customHeight="1" x14ac:dyDescent="0.3">
      <c r="A36" s="3" t="s">
        <v>80</v>
      </c>
      <c r="B36" s="6">
        <f t="shared" si="2"/>
        <v>3</v>
      </c>
      <c r="C36" s="6">
        <f>Stability_Modifier</f>
        <v>2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39"/>
      <c r="P36" s="40"/>
      <c r="Q36" s="41"/>
      <c r="T36" s="6">
        <v>8</v>
      </c>
      <c r="U36" s="33" t="s">
        <v>67</v>
      </c>
      <c r="V36" s="33"/>
    </row>
    <row r="37" spans="1:22" ht="20.25" customHeight="1" x14ac:dyDescent="0.3">
      <c r="E37" s="5"/>
      <c r="F37" s="5"/>
      <c r="G37" s="5"/>
      <c r="O37" s="39"/>
      <c r="P37" s="40"/>
      <c r="Q37" s="41"/>
      <c r="T37" s="6">
        <v>9</v>
      </c>
      <c r="U37" s="33" t="s">
        <v>67</v>
      </c>
      <c r="V37" s="33"/>
    </row>
    <row r="38" spans="1:22" ht="20.25" customHeight="1" x14ac:dyDescent="0.3">
      <c r="B38" s="46" t="s">
        <v>83</v>
      </c>
      <c r="C38" s="46"/>
      <c r="J38" s="46" t="s">
        <v>91</v>
      </c>
      <c r="K38" s="46"/>
      <c r="M38" s="7" t="s">
        <v>78</v>
      </c>
      <c r="O38" s="39"/>
      <c r="P38" s="40"/>
      <c r="Q38" s="41"/>
      <c r="T38" s="6">
        <v>10</v>
      </c>
      <c r="U38" s="33" t="s">
        <v>67</v>
      </c>
      <c r="V38" s="33"/>
    </row>
    <row r="39" spans="1:22" ht="20.25" customHeight="1" x14ac:dyDescent="0.3">
      <c r="A39" s="3" t="s">
        <v>6</v>
      </c>
      <c r="B39" s="4" t="s">
        <v>84</v>
      </c>
      <c r="C39" s="4" t="s">
        <v>14</v>
      </c>
      <c r="J39" s="3" t="s">
        <v>6</v>
      </c>
      <c r="K39" s="4" t="s">
        <v>96</v>
      </c>
      <c r="M39" s="8" t="s">
        <v>97</v>
      </c>
      <c r="O39" s="39"/>
      <c r="P39" s="40"/>
      <c r="Q39" s="41"/>
      <c r="T39" s="6">
        <v>11</v>
      </c>
      <c r="U39" s="33" t="s">
        <v>67</v>
      </c>
      <c r="V39" s="33"/>
    </row>
    <row r="40" spans="1:22" ht="20.25" customHeight="1" x14ac:dyDescent="0.3">
      <c r="A40" s="3" t="s">
        <v>85</v>
      </c>
      <c r="B40" s="6">
        <v>1</v>
      </c>
      <c r="C40" s="6">
        <f>4+IF(Size&gt;=10,4,0)+IF(Size&gt;=25,4,0)+IF(Size&gt;=50,4,0)+IF(Size&gt;=100,4,0)</f>
        <v>4</v>
      </c>
      <c r="J40" s="3" t="s">
        <v>92</v>
      </c>
      <c r="K40" s="6"/>
      <c r="M40" s="18">
        <v>1</v>
      </c>
      <c r="O40" s="39"/>
      <c r="P40" s="40"/>
      <c r="Q40" s="41"/>
      <c r="T40" s="6">
        <v>12</v>
      </c>
      <c r="U40" s="33" t="s">
        <v>67</v>
      </c>
      <c r="V40" s="33"/>
    </row>
    <row r="41" spans="1:22" ht="20.25" customHeight="1" x14ac:dyDescent="0.3">
      <c r="A41" s="3" t="s">
        <v>86</v>
      </c>
      <c r="B41" s="6">
        <v>1</v>
      </c>
      <c r="C41" s="6">
        <f>4+IF(Size&gt;=10,4,0)+IF(Size&gt;=25,4,0)+IF(Size&gt;=50,4,0)+IF(Size&gt;=100,4,0)</f>
        <v>4</v>
      </c>
      <c r="J41" s="3" t="s">
        <v>93</v>
      </c>
      <c r="K41" s="6"/>
      <c r="O41" s="39"/>
      <c r="P41" s="40"/>
      <c r="Q41" s="41"/>
      <c r="T41" s="6">
        <v>13</v>
      </c>
      <c r="U41" s="33" t="s">
        <v>67</v>
      </c>
      <c r="V41" s="33"/>
    </row>
    <row r="42" spans="1:22" ht="20.25" customHeight="1" x14ac:dyDescent="0.3">
      <c r="A42" s="3" t="s">
        <v>87</v>
      </c>
      <c r="B42" s="6">
        <v>1</v>
      </c>
      <c r="C42" s="6">
        <f>4+IF(Size&gt;=10,4,0)+IF(Size&gt;=25,4,0)+IF(Size&gt;=50,4,0)+IF(Size&gt;=100,4,0)</f>
        <v>4</v>
      </c>
      <c r="J42" s="3" t="s">
        <v>94</v>
      </c>
      <c r="K42" s="6"/>
      <c r="M42" s="7" t="s">
        <v>98</v>
      </c>
      <c r="O42" s="39"/>
      <c r="P42" s="40"/>
      <c r="Q42" s="41"/>
      <c r="T42" s="6">
        <v>14</v>
      </c>
      <c r="U42" s="33" t="s">
        <v>67</v>
      </c>
      <c r="V42" s="33"/>
    </row>
    <row r="43" spans="1:22" ht="20.25" customHeight="1" x14ac:dyDescent="0.3">
      <c r="A43" s="3" t="s">
        <v>88</v>
      </c>
      <c r="B43" s="6"/>
      <c r="C43" s="6">
        <f>4+IF(Size&gt;=10,4,0)+IF(Size&gt;=25,4,0)+IF(Size&gt;=50,4,0)+IF(Size&gt;=100,4,0)</f>
        <v>4</v>
      </c>
      <c r="J43" s="3" t="s">
        <v>95</v>
      </c>
      <c r="K43" s="6"/>
      <c r="M43" s="8" t="s">
        <v>99</v>
      </c>
      <c r="O43" s="39"/>
      <c r="P43" s="40"/>
      <c r="Q43" s="41"/>
      <c r="T43" s="6">
        <v>15</v>
      </c>
      <c r="U43" s="33" t="s">
        <v>67</v>
      </c>
      <c r="V43" s="33"/>
    </row>
    <row r="44" spans="1:22" ht="20.25" customHeight="1" x14ac:dyDescent="0.3">
      <c r="A44" s="3" t="s">
        <v>89</v>
      </c>
      <c r="B44" s="6"/>
      <c r="C44" s="6">
        <f>4+IF(Size&gt;=10,4,0)+IF(Size&gt;=25,4,0)+IF(Size&gt;=50,4,0)+IF(Size&gt;=100,4,0)</f>
        <v>4</v>
      </c>
      <c r="M44" s="18"/>
      <c r="O44" s="39"/>
      <c r="P44" s="40"/>
      <c r="Q44" s="41"/>
      <c r="T44" s="6">
        <v>16</v>
      </c>
      <c r="U44" s="33" t="s">
        <v>67</v>
      </c>
      <c r="V44" s="33"/>
    </row>
    <row r="45" spans="1:22" ht="20.25" customHeight="1" x14ac:dyDescent="0.3">
      <c r="T45" s="6">
        <v>17</v>
      </c>
      <c r="U45" s="33" t="s">
        <v>67</v>
      </c>
      <c r="V45" s="33"/>
    </row>
    <row r="46" spans="1:22" s="5" customFormat="1" ht="20.25" customHeight="1" x14ac:dyDescent="0.3">
      <c r="A46" s="46" t="s">
        <v>100</v>
      </c>
      <c r="B46" s="46"/>
      <c r="C46" s="46"/>
      <c r="E46" s="46" t="s">
        <v>101</v>
      </c>
      <c r="F46" s="46"/>
      <c r="G46" s="46"/>
      <c r="H46" s="46"/>
      <c r="I46" s="46"/>
      <c r="J46" s="46"/>
      <c r="K46" s="46"/>
      <c r="L46" s="46"/>
      <c r="N46" s="46" t="s">
        <v>102</v>
      </c>
      <c r="O46" s="46"/>
      <c r="P46" s="46"/>
      <c r="Q46" s="46"/>
      <c r="T46" s="6">
        <v>18</v>
      </c>
      <c r="U46" s="33" t="s">
        <v>67</v>
      </c>
      <c r="V46" s="33"/>
    </row>
    <row r="47" spans="1:22" ht="20.25" customHeight="1" x14ac:dyDescent="0.3">
      <c r="A47" s="43"/>
      <c r="B47" s="44"/>
      <c r="C47" s="45"/>
      <c r="E47" s="43" t="s">
        <v>129</v>
      </c>
      <c r="F47" s="44"/>
      <c r="G47" s="44"/>
      <c r="H47" s="44"/>
      <c r="I47" s="44"/>
      <c r="J47" s="44"/>
      <c r="K47" s="44"/>
      <c r="L47" s="45"/>
      <c r="N47" s="47"/>
      <c r="O47" s="47"/>
      <c r="P47" s="47"/>
      <c r="Q47" s="47"/>
      <c r="T47" s="6">
        <v>19</v>
      </c>
      <c r="U47" s="33" t="s">
        <v>67</v>
      </c>
      <c r="V47" s="33"/>
    </row>
    <row r="48" spans="1:22" ht="20.25" customHeight="1" x14ac:dyDescent="0.3">
      <c r="A48" s="43"/>
      <c r="B48" s="44"/>
      <c r="C48" s="45"/>
      <c r="E48" s="43"/>
      <c r="F48" s="44"/>
      <c r="G48" s="44"/>
      <c r="H48" s="44"/>
      <c r="I48" s="44"/>
      <c r="J48" s="44"/>
      <c r="K48" s="44"/>
      <c r="L48" s="45"/>
      <c r="N48" s="47"/>
      <c r="O48" s="47"/>
      <c r="P48" s="47"/>
      <c r="Q48" s="47"/>
      <c r="T48" s="6">
        <v>20</v>
      </c>
      <c r="U48" s="33" t="s">
        <v>67</v>
      </c>
      <c r="V48" s="33"/>
    </row>
    <row r="49" spans="1:17" ht="20.25" customHeight="1" x14ac:dyDescent="0.3">
      <c r="A49" s="43"/>
      <c r="B49" s="44"/>
      <c r="C49" s="45"/>
      <c r="E49" s="43"/>
      <c r="F49" s="44"/>
      <c r="G49" s="44"/>
      <c r="H49" s="44"/>
      <c r="I49" s="44"/>
      <c r="J49" s="44"/>
      <c r="K49" s="44"/>
      <c r="L49" s="45"/>
      <c r="N49" s="47"/>
      <c r="O49" s="47"/>
      <c r="P49" s="47"/>
      <c r="Q49" s="47"/>
    </row>
    <row r="50" spans="1:17" ht="20.25" customHeight="1" x14ac:dyDescent="0.3">
      <c r="A50" s="43"/>
      <c r="B50" s="44"/>
      <c r="C50" s="45"/>
      <c r="E50" s="43"/>
      <c r="F50" s="44"/>
      <c r="G50" s="44"/>
      <c r="H50" s="44"/>
      <c r="I50" s="44"/>
      <c r="J50" s="44"/>
      <c r="K50" s="44"/>
      <c r="L50" s="45"/>
      <c r="N50" s="47"/>
      <c r="O50" s="47"/>
      <c r="P50" s="47"/>
      <c r="Q50" s="47"/>
    </row>
  </sheetData>
  <mergeCells count="111">
    <mergeCell ref="T15:V15"/>
    <mergeCell ref="T16:V16"/>
    <mergeCell ref="T17:V17"/>
    <mergeCell ref="T18:V18"/>
    <mergeCell ref="T19:V19"/>
    <mergeCell ref="T20:V20"/>
    <mergeCell ref="T26:V26"/>
    <mergeCell ref="T27:V27"/>
    <mergeCell ref="T28:V28"/>
    <mergeCell ref="T21:V21"/>
    <mergeCell ref="T22:V22"/>
    <mergeCell ref="T23:V23"/>
    <mergeCell ref="T24:V24"/>
    <mergeCell ref="T25:V25"/>
    <mergeCell ref="T6:V6"/>
    <mergeCell ref="T7:V7"/>
    <mergeCell ref="T8:V8"/>
    <mergeCell ref="T9:V9"/>
    <mergeCell ref="T10:V10"/>
    <mergeCell ref="T11:V11"/>
    <mergeCell ref="T12:V12"/>
    <mergeCell ref="T13:V13"/>
    <mergeCell ref="T14:V14"/>
    <mergeCell ref="O44:Q44"/>
    <mergeCell ref="N49:Q49"/>
    <mergeCell ref="B38:C38"/>
    <mergeCell ref="B16:D16"/>
    <mergeCell ref="J18:K18"/>
    <mergeCell ref="J17:K17"/>
    <mergeCell ref="J16:K16"/>
    <mergeCell ref="I19:I2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O40:Q40"/>
    <mergeCell ref="O37:Q37"/>
    <mergeCell ref="O34:Q34"/>
    <mergeCell ref="O35:Q35"/>
    <mergeCell ref="O36:Q36"/>
    <mergeCell ref="O39:Q39"/>
    <mergeCell ref="O38:Q38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41:Q41"/>
    <mergeCell ref="O42:Q42"/>
    <mergeCell ref="O43:Q43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E2:H2"/>
    <mergeCell ref="E4:H4"/>
    <mergeCell ref="O1:Q1"/>
    <mergeCell ref="O12:Q12"/>
    <mergeCell ref="O13:Q13"/>
    <mergeCell ref="B1:D1"/>
    <mergeCell ref="B2:D2"/>
    <mergeCell ref="B3:D3"/>
    <mergeCell ref="B5:D5"/>
    <mergeCell ref="B4:D4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</mergeCells>
  <dataValidations count="5">
    <dataValidation type="list" allowBlank="1" showInputMessage="1" showErrorMessage="1" sqref="B2:D2" xr:uid="{00000000-0002-0000-0000-000000000000}">
      <formula1>"Pick One,Conquest,Exploration,Expansion,Grant,Open"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0000000-0002-0000-0000-000002000000}">
      <formula1>"Despotism,Feudalism,Oligarchy,Republic,Thaumocracy,Yeomanry"</formula1>
    </dataValidation>
    <dataValidation type="list" allowBlank="1" showInputMessage="1" showErrorMessage="1" sqref="E2:I2 E4:I4" xr:uid="{00000000-0002-0000-0000-000003000000}">
      <formula1>"Free boost,Culture,Economy,Loyalty,Stability"</formula1>
    </dataValidation>
    <dataValidation type="list" allowBlank="1" showInputMessage="1" showErrorMessage="1" sqref="U30:V48" xr:uid="{CE74A108-CE68-4972-9FCF-FED4F3DA83F4}">
      <formula1>$A$20:$A$36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8" t="s">
        <v>106</v>
      </c>
      <c r="E1" s="58"/>
      <c r="F1" s="58"/>
      <c r="G1" s="30"/>
      <c r="H1" s="31" t="s">
        <v>15</v>
      </c>
      <c r="I1" s="32">
        <v>1</v>
      </c>
      <c r="J1" s="30"/>
      <c r="K1" s="59" t="s">
        <v>107</v>
      </c>
      <c r="L1" s="59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105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6" t="s">
        <v>104</v>
      </c>
      <c r="I15" s="57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5" t="s">
        <v>103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128</vt:i4>
      </vt:variant>
    </vt:vector>
  </HeadingPairs>
  <TitlesOfParts>
    <vt:vector size="130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Charter</vt:lpstr>
      <vt:lpstr>Charter_boost</vt:lpstr>
      <vt:lpstr>Conquest</vt:lpstr>
      <vt:lpstr>Councelor_invested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levelIncreaseSkills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Size</vt:lpstr>
      <vt:lpstr>Stability</vt:lpstr>
      <vt:lpstr>Stability_Modifier</vt:lpstr>
      <vt:lpstr>Statecraft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2024-03-14T20:20:26Z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