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92F23509-2D19-4576-9D4D-178EC059CBB3}" xr6:coauthVersionLast="47" xr6:coauthVersionMax="47" xr10:uidLastSave="{00000000-0000-0000-0000-000000000000}"/>
  <bookViews>
    <workbookView xWindow="30930" yWindow="585" windowWidth="24195" windowHeight="1482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freeCharterSkill">Kingdom!$I$2</definedName>
    <definedName name="freeHeartlandSkill">Kingdom!$I$3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I22" i="1"/>
  <c r="O19" i="1"/>
  <c r="B11" i="1"/>
  <c r="C27" i="1" s="1"/>
  <c r="D18" i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18" i="1" l="1"/>
  <c r="B23" i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<sst xmlns="http://schemas.openxmlformats.org/spreadsheetml/2006/main" count="225" uniqueCount="199">
  <si>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</si>
  <si>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</si>
  <si>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</si>
  <si>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</si>
  <si>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</si>
  <si>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</si>
  <si>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</si>
  <si>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</si>
  <si>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</si>
  <si>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</si>
  <si>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</si>
  <si>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</si>
  <si>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</si>
  <si>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</si>
  <si>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</si>
  <si>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</si>
  <si>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</si>
  <si>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</si>
  <si>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</si>
  <si>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</si>
  <si>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</si>
  <si>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</si>
  <si>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</si>
  <si>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</si>
  <si>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</si>
  <si>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</si>
  <si>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</si>
  <si>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</si>
  <si>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</si>
  <si>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</si>
  <si>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</si>
  <si>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</si>
  <si>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</si>
  <si>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</si>
  <si>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</si>
  <si>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</si>
  <si>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</si>
  <si>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</si>
  <si>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</si>
  <si>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</si>
  <si>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</si>
  <si>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</si>
  <si>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</si>
  <si>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</si>
  <si>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</si>
  <si>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</si>
  <si>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</si>
  <si>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</si>
  <si>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</si>
  <si>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</si>
  <si>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</si>
  <si>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</si>
  <si>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</si>
  <si>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</si>
  <si>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</si>
  <si>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</si>
  <si>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</si>
  <si>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</si>
  <si>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</si>
  <si>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</si>
  <si>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</si>
  <si>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</si>
  <si>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</si>
  <si>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</si>
  <si>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</si>
  <si>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</si>
  <si>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</si>
  <si>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</si>
  <si>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</si>
  <si>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</si>
  <si>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</si>
  <si>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</si>
  <si>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</si>
  <si>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</si>
  <si>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</si>
  <si>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</si>
  <si>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</si>
  <si>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</si>
  <si>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</si>
  <si>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</si>
  <si>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</si>
  <si>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</si>
  <si>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</si>
  <si>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</si>
  <si>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</si>
  <si>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</si>
  <si>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</si>
  <si>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</si>
  <si>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</si>
  <si>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</si>
  <si>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</si>
  <si>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</si>
  <si>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</si>
  <si>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</si>
  <si>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</si>
  <si>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</si>
  <si>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</si>
  <si>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</si>
  <si>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</si>
  <si>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</si>
  <si>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</si>
  <si>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</si>
  <si>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</si>
  <si>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</si>
  <si>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</si>
  <si>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</si>
  <si>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</si>
  <si>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</si>
  <si>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</si>
  <si>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</si>
  <si>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</si>
  <si>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</si>
  <si>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</si>
  <si>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</si>
  <si>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</si>
  <si>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</si>
  <si>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</si>
  <si>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</si>
  <si>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</si>
  <si>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</si>
  <si>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</si>
  <si>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</si>
  <si>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</si>
  <si>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</si>
  <si>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</si>
  <si>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</si>
  <si>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</si>
  <si>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</si>
  <si>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</si>
  <si>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</si>
  <si>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Abilities boosts</t>
  </si>
  <si>
    <t>Level 5</t>
  </si>
  <si>
    <t>Level 10</t>
  </si>
  <si>
    <t>Level 15</t>
  </si>
  <si>
    <t>Level 20</t>
  </si>
  <si>
    <t>Level 2 feat</t>
  </si>
  <si>
    <t>Free Skill</t>
  </si>
  <si>
    <t>Free Ability</t>
  </si>
  <si>
    <t>Final free boost</t>
  </si>
  <si>
    <t>Pull Together</t>
  </si>
  <si>
    <t>KINGDOM ADVANCEMENT</t>
  </si>
  <si>
    <t>Settlement construction (town), skill increase</t>
  </si>
  <si>
    <t>Ruin resistance, skill increase</t>
  </si>
  <si>
    <t>Skill increase</t>
  </si>
  <si>
    <t>Ability boosts, settlement construction (metropolis), skill increase</t>
  </si>
  <si>
    <r>
      <rPr>
        <sz val="11"/>
        <color rgb="FF000000"/>
        <rFont val="Arial"/>
        <family val="2"/>
      </rPr>
      <t>Level</t>
    </r>
  </si>
  <si>
    <r>
      <rPr>
        <sz val="11"/>
        <color rgb="FF000000"/>
        <rFont val="Arial"/>
        <family val="2"/>
      </rPr>
      <t>Control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DC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</si>
  <si>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features</t>
    </r>
  </si>
  <si>
    <r>
      <rPr>
        <sz val="11"/>
        <color rgb="FF000000"/>
        <rFont val="Arial"/>
        <family val="2"/>
      </rPr>
      <t>Charte</t>
    </r>
    <r>
      <rPr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government,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heartland,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initial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proficiencies,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favored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construction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(village)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</si>
  <si>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  <r>
      <rPr>
        <i/>
        <sz val="11"/>
        <color rgb="FF000000"/>
        <rFont val="Arial"/>
        <family val="2"/>
      </rPr>
      <t>,</t>
    </r>
    <r>
      <rPr>
        <i/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</si>
  <si>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fine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living,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</si>
  <si>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</si>
  <si>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</si>
  <si>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(full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level)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</si>
  <si>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+2,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</si>
  <si>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(Claim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Hex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3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times/turn),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 xml:space="preserve">construction
</t>
    </r>
    <r>
      <rPr>
        <sz val="11"/>
        <color rgb="FF000000"/>
        <rFont val="Arial"/>
        <family val="2"/>
      </rPr>
      <t>(city),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</si>
  <si>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life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luxur</t>
    </r>
    <r>
      <rPr>
        <sz val="11"/>
        <color rgb="FF000000"/>
        <rFont val="Arial"/>
        <family val="2"/>
      </rPr>
      <t>y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</si>
  <si>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Civic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planning,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</si>
  <si>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</si>
  <si>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</si>
  <si>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+3,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</si>
  <si>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</si>
  <si>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envy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the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world,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</si>
  <si>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t>Size mod</t>
  </si>
  <si>
    <t>Bank</t>
  </si>
  <si>
    <t>+1 Item Bonus to Capital Investment and Collect Taxes</t>
  </si>
  <si>
    <t>Castle</t>
  </si>
  <si>
    <t>+2 Item Bonus to Manage Trade Agreements and Relocate Capital</t>
  </si>
  <si>
    <t>Construction Yard</t>
  </si>
  <si>
    <t>+1 Item Bonus to Build Roads and Irrigation</t>
  </si>
  <si>
    <t>Festival Hall</t>
  </si>
  <si>
    <t>+1 Item Bonus to Quell Unrest (Arts)</t>
  </si>
  <si>
    <t>Garrison</t>
  </si>
  <si>
    <t>+1 Item Bonus to Fortify Hex</t>
  </si>
  <si>
    <t>Granary</t>
  </si>
  <si>
    <t>+1 Item Bonus to Establish Farmland, Granary now requires Agriculture (Trained)</t>
  </si>
  <si>
    <t>Inn</t>
  </si>
  <si>
    <t>+1 Item Bonus to Clear Hex (Exploration)</t>
  </si>
  <si>
    <t>Library</t>
  </si>
  <si>
    <t>+1 Item Bonus to Creative Solution</t>
  </si>
  <si>
    <t>Magic Shop</t>
  </si>
  <si>
    <t>+1 Item Bonus to Prognostication</t>
  </si>
  <si>
    <t>Monument</t>
  </si>
  <si>
    <t>+1 Item Bonus to Create A Masterpiece</t>
  </si>
  <si>
    <t>Occult Shop</t>
  </si>
  <si>
    <t>+2 Item Bonus to Supernatural Solution</t>
  </si>
  <si>
    <t>Palace</t>
  </si>
  <si>
    <t>+3 Item Bonus to Manage Trade Agreements and Relocate Capital</t>
  </si>
  <si>
    <t>Smithy</t>
  </si>
  <si>
    <t>+1 Item Bonus to Clear Hex (Engineering)</t>
  </si>
  <si>
    <t>Tavern, Dive</t>
  </si>
  <si>
    <t>Tavern, Luxury</t>
  </si>
  <si>
    <t>+2 Item Bonus to Reconnoiter Hex*</t>
  </si>
  <si>
    <t>Tavern, Popular</t>
  </si>
  <si>
    <t>+1 Item Bonus to Reconnoiter Hex*</t>
  </si>
  <si>
    <r>
      <rPr>
        <sz val="10"/>
        <color rgb="FF000000"/>
        <rFont val="Arial"/>
        <family val="2"/>
      </rPr>
      <t>T</t>
    </r>
    <r>
      <rPr>
        <sz val="10"/>
        <color rgb="FF000000"/>
        <rFont val="Arial"/>
        <family val="2"/>
      </rPr>
      <t>avern,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orld-Class</t>
    </r>
  </si>
  <si>
    <t>+3 Item Bonus to Reconnoiter Hex*</t>
  </si>
  <si>
    <t>Town Hall:</t>
  </si>
  <si>
    <t>+1 Item Bonus to Manage Trade Agreements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</si>
</sst>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i/>
      <sz val="11"/>
      <color rgb="FF1B4586"/>
      <name val="Arial"/>
      <family val="2"/>
    </font>
    <font>
      <i/>
      <sz val="11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7" fillId="0" borderId="15" xfId="0" applyFont="1" applyBorder="1" applyAlignment="1">
      <alignment horizontal="left" vertical="center" wrapText="1"/>
    </xf>
    <xf numFmtId="1" fontId="7" fillId="0" borderId="15" xfId="0" applyNumberFormat="1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8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8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8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8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8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8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8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8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8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8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8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8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8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8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8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8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8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8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8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8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8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8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8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9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9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9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9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9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9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9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9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9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9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9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9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9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9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9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9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9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9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9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9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9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9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9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9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9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9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9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9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9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9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9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9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9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9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9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9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50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50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50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50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50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50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50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50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50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50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50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50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50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50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50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50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50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50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50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50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50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50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50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50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50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50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50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50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50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50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50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50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50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50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50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50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50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50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50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50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50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50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0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0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0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0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0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0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0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0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0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50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50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50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50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5056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A907422F-2837-F7F6-D252-F43B55452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5057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D18EAA5-5453-E1DA-4718-7549D10F4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5058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BF69FC77-4AD0-6BE9-2AD0-1A7D209CB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5059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875529FA-F8ED-042A-1A11-5690B46AE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5060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6B81AA64-3EF0-C824-1664-480F8C7E3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5061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CD846935-CAC7-964A-1F8A-228ED2EDE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5062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50C395CE-1A4D-B11F-ADE0-76A2AE680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5063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18C7F026-2E8A-77D4-38AD-513DCE572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5064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756F267D-FD69-F494-58BD-DE76869B6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5065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BFD62CF7-0943-FFA4-B85E-30B2E9509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5066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6524C315-AAD8-14AA-3F39-B4BDE92B7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5067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BF6C1DEC-DB69-BD19-61D8-FD0EB815E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5068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C1460C98-DF74-890F-E57D-25E00EEB0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5069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F71EF671-17BC-2E27-0B56-F6AC2372E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5070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48544FE9-76EF-1783-D291-3401F6DEC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5071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32FBAF5E-F4B8-7130-D1F9-8936EFEA1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5072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7E4EB12F-DE60-7739-D438-8D9D22CCA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5073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85FFF3BC-C1D3-FADB-EE79-3E2CEB442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5074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51837C9A-DB5A-D4A4-524A-1E57D3C71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5075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437F0019-1738-C0AD-990B-6C7C6475A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5076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90FF3F90-B109-A89B-8C5F-D13C92118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5077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88955218-E570-442C-ECA6-60A6553F9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5078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23588AF0-A9A7-2BBA-E5DF-2CA9F1F8A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5079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B2355A6E-5D86-2EF3-B0FF-B1F51C813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5080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38CAFA0F-FDDB-F295-AD19-881F8A321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5081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D92930FF-3C95-1EE4-6AA3-4D7CD116C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5082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32FD531C-EA35-AC26-A625-B3C55E685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5083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DDFFB4F6-8044-0EBE-18F4-DD1798263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5084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D2F6AC64-49EE-4183-8C9B-91420496A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5085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282957C0-0CE3-2515-81B9-9C2B62AF1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5086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3943B789-F079-A3A2-A498-9B80615C3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5087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7A17D8C2-D118-CA28-8FDE-99371CFBC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5088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E882D9AE-6D83-72EB-C085-77F09E44B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5089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C3F3B0D0-28FE-9EA8-5BA9-55986170A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5090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AD7844FB-4A3B-2189-3F01-1A8329C35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5091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657F3C0E-2139-1A22-BB10-F547C7085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5092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8D21E552-7B42-BA0F-E947-B4F7B10EB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5093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9EE14768-5D44-437C-4B17-351BC5ECC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5094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A0E23CB1-C37E-2E2F-6128-DFF063E66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5095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EF7E9B3E-FFF0-7FD2-3E96-F239257F8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5096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16D0EDA-3824-C680-6D42-9695C84B1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5097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58C55F89-33D9-90DF-9186-61DD405A4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5098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5FEEDABD-6F26-28E3-1B69-7BA498DAA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5099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62DF4795-3DDF-6551-69DE-152BF90EC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5100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5D906A5B-CA98-2B45-FFBB-0F1CF1162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5101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67679F01-6A2D-B4BA-89C0-352E1FC92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5102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861780AD-E076-D709-A903-0362BC829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5103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B293F103-2634-5A91-1C41-562DA7379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5104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E0E569FB-6E43-A5AA-C46F-064CA3D5A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5105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CD168D24-D684-457F-335A-188AC95DD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5106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6917926A-620C-6708-04BD-97E13C86B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5107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9F374522-D8A6-A461-3CC4-B44FCD006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5108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A5CE0104-D174-B1E3-0787-FDE754F58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5109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25444615-16E8-EEC6-7F69-1332A08FD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5110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BCB50768-CBA2-DCE2-CED3-38285D6DE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5111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7D5A3443-C838-72D1-B1A1-C9A4ECA6A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5112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79D94AB6-D378-4B71-37BA-743C629B7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5113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B5F02F1F-3104-CA51-2014-AF244C0B3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5114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41210EBA-B084-D366-6424-5BBD30C6D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5115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F8E215F8-E7DB-110F-9C8A-E79F34853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5116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A40722A4-1BB5-9A3F-4BAF-61AB6AF72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5117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4D8D1D7A-590A-0E6D-1564-E28685DC0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"/>
  <sheetViews>
    <sheetView tabSelected="1" zoomScale="75" zoomScaleNormal="75" workbookViewId="0">
      <selection activeCell="E3" sqref="E3:H3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6.85546875" style="1" customWidth="1"/>
    <col min="25" max="25" width="12.42578125" style="1" customWidth="1"/>
    <col min="26" max="26" width="95.140625" style="1" customWidth="1"/>
    <col min="27" max="16384" width="9.140625" style="1"/>
  </cols>
  <sheetData>
    <row r="1" spans="1:26" ht="20.25" customHeight="1" x14ac:dyDescent="0.3">
      <c r="A1" s="13" t="s">
        <v>0</v>
      </c>
      <c r="B1" s="60" t="s">
        <v>51</v>
      </c>
      <c r="C1" s="60"/>
      <c r="D1" s="60"/>
      <c r="E1" s="47" t="s">
        <v>137</v>
      </c>
      <c r="F1" s="47"/>
      <c r="G1" s="47"/>
      <c r="H1" s="47"/>
      <c r="I1" s="9" t="s">
        <v>136</v>
      </c>
      <c r="J1" s="13" t="s">
        <v>15</v>
      </c>
      <c r="K1" s="14">
        <v>2</v>
      </c>
      <c r="L1" s="13" t="s">
        <v>16</v>
      </c>
      <c r="M1" s="14">
        <v>0</v>
      </c>
      <c r="O1" s="57" t="s">
        <v>20</v>
      </c>
      <c r="P1" s="57"/>
      <c r="Q1" s="57"/>
    </row>
    <row r="2" spans="1:26" ht="20.25" customHeight="1" x14ac:dyDescent="0.3">
      <c r="A2" s="19" t="s">
        <v>1</v>
      </c>
      <c r="B2" s="38" t="s">
        <v>52</v>
      </c>
      <c r="C2" s="39"/>
      <c r="D2" s="40"/>
      <c r="E2" s="52" t="s">
        <v>23</v>
      </c>
      <c r="F2" s="52"/>
      <c r="G2" s="52"/>
      <c r="H2" s="52"/>
      <c r="I2" s="10" t="s">
        <v>77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44" t="s">
        <v>106</v>
      </c>
      <c r="U2" s="44"/>
      <c r="V2" s="44"/>
      <c r="X2" s="63" t="s">
        <v>140</v>
      </c>
      <c r="Y2" s="63"/>
      <c r="Z2" s="63"/>
    </row>
    <row r="3" spans="1:26" ht="20.25" customHeight="1" x14ac:dyDescent="0.3">
      <c r="A3" s="19" t="s">
        <v>2</v>
      </c>
      <c r="B3" s="52" t="s">
        <v>53</v>
      </c>
      <c r="C3" s="52"/>
      <c r="D3" s="52"/>
      <c r="E3" s="52"/>
      <c r="F3" s="52"/>
      <c r="G3" s="52"/>
      <c r="H3" s="52"/>
      <c r="I3" s="10" t="s">
        <v>56</v>
      </c>
      <c r="O3" s="6" t="b">
        <v>1</v>
      </c>
      <c r="P3" s="6" t="s">
        <v>30</v>
      </c>
      <c r="Q3" s="6" t="s">
        <v>38</v>
      </c>
      <c r="T3" s="45" t="s">
        <v>111</v>
      </c>
      <c r="U3" s="45"/>
      <c r="V3" s="45"/>
      <c r="X3" s="36" t="s">
        <v>145</v>
      </c>
      <c r="Y3" s="36" t="s">
        <v>146</v>
      </c>
      <c r="Z3" s="36" t="s">
        <v>147</v>
      </c>
    </row>
    <row r="4" spans="1:26" ht="20.25" customHeight="1" x14ac:dyDescent="0.3">
      <c r="A4" s="19" t="s">
        <v>3</v>
      </c>
      <c r="B4" s="38" t="s">
        <v>54</v>
      </c>
      <c r="C4" s="39"/>
      <c r="D4" s="40"/>
      <c r="E4" s="38" t="s">
        <v>23</v>
      </c>
      <c r="F4" s="39"/>
      <c r="G4" s="39"/>
      <c r="H4" s="40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45" t="s">
        <v>107</v>
      </c>
      <c r="U4" s="45"/>
      <c r="V4" s="45"/>
      <c r="X4" s="35">
        <v>1</v>
      </c>
      <c r="Y4" s="35">
        <v>14</v>
      </c>
      <c r="Z4" s="37" t="s">
        <v>148</v>
      </c>
    </row>
    <row r="5" spans="1:26" ht="20.25" customHeight="1" x14ac:dyDescent="0.3">
      <c r="C5" s="61" t="s">
        <v>138</v>
      </c>
      <c r="D5" s="62"/>
      <c r="E5" s="38" t="s">
        <v>22</v>
      </c>
      <c r="F5" s="39"/>
      <c r="G5" s="39"/>
      <c r="H5" s="40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45" t="s">
        <v>108</v>
      </c>
      <c r="U5" s="45"/>
      <c r="V5" s="45"/>
      <c r="X5" s="36">
        <v>2</v>
      </c>
      <c r="Y5" s="36">
        <v>15</v>
      </c>
      <c r="Z5" s="34" t="s">
        <v>149</v>
      </c>
    </row>
    <row r="6" spans="1:26" ht="20.25" customHeight="1" x14ac:dyDescent="0.3">
      <c r="C6" s="61" t="s">
        <v>138</v>
      </c>
      <c r="D6" s="62"/>
      <c r="E6" s="38" t="s">
        <v>23</v>
      </c>
      <c r="F6" s="39"/>
      <c r="G6" s="39"/>
      <c r="H6" s="40"/>
      <c r="N6" s="16"/>
      <c r="O6" s="6" t="b">
        <v>0</v>
      </c>
      <c r="P6" s="6" t="s">
        <v>33</v>
      </c>
      <c r="Q6" s="6" t="s">
        <v>41</v>
      </c>
      <c r="T6" s="45" t="s">
        <v>54</v>
      </c>
      <c r="U6" s="45"/>
      <c r="V6" s="45"/>
      <c r="X6" s="35">
        <v>3</v>
      </c>
      <c r="Y6" s="35">
        <v>16</v>
      </c>
      <c r="Z6" s="37" t="s">
        <v>141</v>
      </c>
    </row>
    <row r="7" spans="1:26" ht="20.25" customHeight="1" x14ac:dyDescent="0.3">
      <c r="C7" s="61" t="s">
        <v>138</v>
      </c>
      <c r="D7" s="62"/>
      <c r="E7" s="38" t="s">
        <v>24</v>
      </c>
      <c r="F7" s="39"/>
      <c r="G7" s="39"/>
      <c r="H7" s="40"/>
      <c r="J7" s="13" t="s">
        <v>4</v>
      </c>
      <c r="K7" s="60" t="s">
        <v>55</v>
      </c>
      <c r="L7" s="60"/>
      <c r="M7" s="60"/>
      <c r="N7" s="11"/>
      <c r="O7" s="6" t="b">
        <v>1</v>
      </c>
      <c r="P7" s="6" t="s">
        <v>34</v>
      </c>
      <c r="Q7" s="6" t="s">
        <v>42</v>
      </c>
      <c r="T7" s="45" t="s">
        <v>109</v>
      </c>
      <c r="U7" s="45"/>
      <c r="V7" s="45"/>
      <c r="X7" s="35">
        <v>4</v>
      </c>
      <c r="Y7" s="35">
        <v>18</v>
      </c>
      <c r="Z7" s="37" t="s">
        <v>150</v>
      </c>
    </row>
    <row r="8" spans="1:26" ht="20.25" customHeight="1" x14ac:dyDescent="0.3">
      <c r="N8" s="11"/>
      <c r="O8" s="6" t="b">
        <v>0</v>
      </c>
      <c r="P8" s="6" t="s">
        <v>35</v>
      </c>
      <c r="Q8" s="6"/>
      <c r="T8" s="45" t="s">
        <v>110</v>
      </c>
      <c r="U8" s="45"/>
      <c r="V8" s="45"/>
      <c r="X8" s="36">
        <v>5</v>
      </c>
      <c r="Y8" s="36">
        <v>20</v>
      </c>
      <c r="Z8" s="34" t="s">
        <v>151</v>
      </c>
    </row>
    <row r="9" spans="1:26" ht="20.25" customHeight="1" x14ac:dyDescent="0.3">
      <c r="A9" s="11"/>
      <c r="B9" s="57" t="s">
        <v>18</v>
      </c>
      <c r="C9" s="57"/>
      <c r="D9" s="57"/>
      <c r="E9" s="15"/>
      <c r="F9" s="15"/>
      <c r="G9" s="15"/>
      <c r="H9" s="16"/>
      <c r="I9" s="15"/>
      <c r="J9" s="57" t="s">
        <v>19</v>
      </c>
      <c r="K9" s="57"/>
      <c r="L9" s="57"/>
      <c r="M9" s="57"/>
      <c r="N9" s="11"/>
      <c r="O9" s="6" t="b">
        <v>0</v>
      </c>
      <c r="P9" s="6" t="s">
        <v>36</v>
      </c>
      <c r="Q9" s="6" t="s">
        <v>43</v>
      </c>
      <c r="T9" s="46"/>
      <c r="U9" s="46"/>
      <c r="V9" s="46"/>
      <c r="X9" s="35">
        <v>6</v>
      </c>
      <c r="Y9" s="35">
        <v>22</v>
      </c>
      <c r="Z9" s="37" t="s">
        <v>152</v>
      </c>
    </row>
    <row r="10" spans="1:26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44" t="s">
        <v>112</v>
      </c>
      <c r="U10" s="44"/>
      <c r="V10" s="44"/>
      <c r="X10" s="35">
        <v>7</v>
      </c>
      <c r="Y10" s="35">
        <v>23</v>
      </c>
      <c r="Z10" s="37" t="s">
        <v>153</v>
      </c>
    </row>
    <row r="11" spans="1:26" ht="20.25" customHeight="1" x14ac:dyDescent="0.3">
      <c r="A11" s="11"/>
      <c r="B11" s="6">
        <f>IF(D11="","",ROUNDDOWN((D11-10)/2,0))</f>
        <v>1</v>
      </c>
      <c r="C11" s="6" t="s">
        <v>22</v>
      </c>
      <c r="D11" s="6"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45" t="s">
        <v>113</v>
      </c>
      <c r="U11" s="45"/>
      <c r="V11" s="45"/>
      <c r="X11" s="35">
        <v>8</v>
      </c>
      <c r="Y11" s="36">
        <v>24</v>
      </c>
      <c r="Z11" s="34" t="s">
        <v>154</v>
      </c>
    </row>
    <row r="12" spans="1:26" ht="20.25" customHeight="1" x14ac:dyDescent="0.3">
      <c r="A12" s="11"/>
      <c r="B12" s="6">
        <f t="shared" ref="B12:B14" si="0">IF(D12="","",ROUNDDOWN((D12-10)/2,0))</f>
        <v>2</v>
      </c>
      <c r="C12" s="6" t="s">
        <v>23</v>
      </c>
      <c r="D12" s="6">
        <v>14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1" t="s">
        <v>81</v>
      </c>
      <c r="P12" s="42"/>
      <c r="Q12" s="43"/>
      <c r="T12" s="45" t="s">
        <v>114</v>
      </c>
      <c r="U12" s="45"/>
      <c r="V12" s="45"/>
      <c r="X12" s="36">
        <v>9</v>
      </c>
      <c r="Y12" s="35">
        <v>26</v>
      </c>
      <c r="Z12" s="34" t="s">
        <v>155</v>
      </c>
    </row>
    <row r="13" spans="1:26" ht="20.25" customHeight="1" x14ac:dyDescent="0.3">
      <c r="A13" s="11"/>
      <c r="B13" s="6">
        <f t="shared" si="0"/>
        <v>2</v>
      </c>
      <c r="C13" s="6" t="s">
        <v>24</v>
      </c>
      <c r="D13" s="6">
        <v>14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8"/>
      <c r="P13" s="39"/>
      <c r="Q13" s="40"/>
      <c r="T13" s="45" t="s">
        <v>115</v>
      </c>
      <c r="U13" s="45"/>
      <c r="V13" s="45"/>
      <c r="X13" s="35">
        <v>10</v>
      </c>
      <c r="Y13" s="36">
        <v>27</v>
      </c>
      <c r="Z13" s="34" t="s">
        <v>156</v>
      </c>
    </row>
    <row r="14" spans="1:26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8"/>
      <c r="P14" s="39"/>
      <c r="Q14" s="40"/>
      <c r="T14" s="45" t="s">
        <v>116</v>
      </c>
      <c r="U14" s="45"/>
      <c r="V14" s="45"/>
      <c r="X14" s="35">
        <v>11</v>
      </c>
      <c r="Y14" s="35">
        <v>28</v>
      </c>
      <c r="Z14" s="37" t="s">
        <v>142</v>
      </c>
    </row>
    <row r="15" spans="1:26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8"/>
      <c r="P15" s="39"/>
      <c r="Q15" s="40"/>
      <c r="T15" s="45" t="s">
        <v>52</v>
      </c>
      <c r="U15" s="45"/>
      <c r="V15" s="45"/>
      <c r="X15" s="36">
        <v>12</v>
      </c>
      <c r="Y15" s="35">
        <v>30</v>
      </c>
      <c r="Z15" s="37" t="s">
        <v>157</v>
      </c>
    </row>
    <row r="16" spans="1:26" ht="20.25" customHeight="1" x14ac:dyDescent="0.3">
      <c r="A16" s="11"/>
      <c r="B16" s="38" t="s">
        <v>26</v>
      </c>
      <c r="C16" s="39"/>
      <c r="D16" s="40"/>
      <c r="E16" s="12"/>
      <c r="F16" s="12"/>
      <c r="G16" s="12"/>
      <c r="H16" s="11"/>
      <c r="I16" s="12"/>
      <c r="J16" s="38" t="s">
        <v>49</v>
      </c>
      <c r="K16" s="40"/>
      <c r="L16" s="6">
        <v>-1</v>
      </c>
      <c r="M16" s="11"/>
      <c r="O16" s="38"/>
      <c r="P16" s="39"/>
      <c r="Q16" s="40"/>
      <c r="T16" s="46"/>
      <c r="U16" s="46"/>
      <c r="V16" s="46"/>
      <c r="X16" s="35">
        <v>13</v>
      </c>
      <c r="Y16" s="36">
        <v>31</v>
      </c>
      <c r="Z16" s="34" t="s">
        <v>158</v>
      </c>
    </row>
    <row r="17" spans="1:26" ht="20.25" customHeight="1" x14ac:dyDescent="0.3">
      <c r="A17" s="11"/>
      <c r="B17" s="6" t="s">
        <v>28</v>
      </c>
      <c r="C17" s="6" t="s">
        <v>27</v>
      </c>
      <c r="D17" s="6" t="s">
        <v>163</v>
      </c>
      <c r="E17" s="12"/>
      <c r="F17" s="12"/>
      <c r="G17" s="12"/>
      <c r="H17" s="11"/>
      <c r="I17" s="12"/>
      <c r="J17" s="38" t="s">
        <v>9</v>
      </c>
      <c r="K17" s="40"/>
      <c r="L17" s="6">
        <f>ABS(ROUNDDOWN(L16/5,0))</f>
        <v>0</v>
      </c>
      <c r="M17" s="11"/>
      <c r="O17" s="38"/>
      <c r="P17" s="39"/>
      <c r="Q17" s="40"/>
      <c r="T17" s="44" t="s">
        <v>2</v>
      </c>
      <c r="U17" s="44"/>
      <c r="V17" s="44"/>
      <c r="X17" s="35">
        <v>14</v>
      </c>
      <c r="Y17" s="35">
        <v>32</v>
      </c>
      <c r="Z17" s="37" t="s">
        <v>159</v>
      </c>
    </row>
    <row r="18" spans="1:26" ht="20.25" customHeight="1" x14ac:dyDescent="0.3">
      <c r="A18" s="12"/>
      <c r="B18" s="6">
        <f>C18+D18</f>
        <v>15</v>
      </c>
      <c r="C18" s="6">
        <f>VLOOKUP(Level,X4:Y23,2)</f>
        <v>15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8" t="s">
        <v>50</v>
      </c>
      <c r="K18" s="40"/>
      <c r="L18" s="6">
        <v>1</v>
      </c>
      <c r="M18" s="11"/>
      <c r="O18" s="41" t="s">
        <v>135</v>
      </c>
      <c r="P18" s="42"/>
      <c r="Q18" s="43"/>
      <c r="T18" s="45" t="s">
        <v>117</v>
      </c>
      <c r="U18" s="45"/>
      <c r="V18" s="45"/>
      <c r="X18" s="35">
        <v>15</v>
      </c>
      <c r="Y18" s="35">
        <v>34</v>
      </c>
      <c r="Z18" s="37" t="s">
        <v>144</v>
      </c>
    </row>
    <row r="19" spans="1:26" ht="20.25" customHeight="1" x14ac:dyDescent="0.3">
      <c r="A19" s="2"/>
      <c r="B19" s="2"/>
      <c r="C19" s="2"/>
      <c r="D19" s="2"/>
      <c r="E19" s="2"/>
      <c r="F19" s="2"/>
      <c r="G19" s="2"/>
      <c r="I19" s="58" t="s">
        <v>125</v>
      </c>
      <c r="O19" s="38" t="str">
        <f>IF(Level&gt;=2,"Untrained Improvisiation","")</f>
        <v>Untrained Improvisiation</v>
      </c>
      <c r="P19" s="39"/>
      <c r="Q19" s="40"/>
      <c r="T19" s="45" t="s">
        <v>118</v>
      </c>
      <c r="U19" s="45"/>
      <c r="V19" s="45"/>
      <c r="X19" s="36">
        <v>16</v>
      </c>
      <c r="Y19" s="35">
        <v>35</v>
      </c>
      <c r="Z19" s="37" t="s">
        <v>160</v>
      </c>
    </row>
    <row r="20" spans="1:26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9"/>
      <c r="J20" s="4" t="s">
        <v>59</v>
      </c>
      <c r="K20" s="4" t="s">
        <v>60</v>
      </c>
      <c r="L20" s="4" t="s">
        <v>61</v>
      </c>
      <c r="M20" s="4" t="s">
        <v>62</v>
      </c>
      <c r="O20" s="41" t="s">
        <v>124</v>
      </c>
      <c r="P20" s="42"/>
      <c r="Q20" s="43"/>
      <c r="T20" s="45" t="s">
        <v>119</v>
      </c>
      <c r="U20" s="45"/>
      <c r="V20" s="45"/>
      <c r="X20" s="35">
        <v>17</v>
      </c>
      <c r="Y20" s="36">
        <v>36</v>
      </c>
      <c r="Z20" s="34" t="s">
        <v>161</v>
      </c>
    </row>
    <row r="21" spans="1:26" ht="20.25" customHeight="1" x14ac:dyDescent="0.3">
      <c r="A21" s="3" t="s">
        <v>56</v>
      </c>
      <c r="B21" s="20">
        <f>C21+D21+I21+J21+K21+L21+M21</f>
        <v>8</v>
      </c>
      <c r="C21" s="20">
        <f>Stability_Modifier</f>
        <v>3</v>
      </c>
      <c r="D21" s="20">
        <f t="shared" ref="D21:D36" si="1">IF(OR(E21,F21,G21,H21),Level+E21*2+F21*2+G21*2+H21*2,0)</f>
        <v>4</v>
      </c>
      <c r="E21" s="21" t="b">
        <v>1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8" t="s">
        <v>139</v>
      </c>
      <c r="P21" s="39"/>
      <c r="Q21" s="40"/>
      <c r="T21" s="45" t="s">
        <v>120</v>
      </c>
      <c r="U21" s="45"/>
      <c r="V21" s="45"/>
      <c r="X21" s="35">
        <v>18</v>
      </c>
      <c r="Y21" s="35">
        <v>38</v>
      </c>
      <c r="Z21" s="37" t="s">
        <v>152</v>
      </c>
    </row>
    <row r="22" spans="1:26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45" t="s">
        <v>121</v>
      </c>
      <c r="U22" s="45"/>
      <c r="V22" s="45"/>
      <c r="X22" s="36">
        <v>19</v>
      </c>
      <c r="Y22" s="35">
        <v>39</v>
      </c>
      <c r="Z22" s="37" t="s">
        <v>143</v>
      </c>
    </row>
    <row r="23" spans="1:26" ht="20.25" customHeight="1" x14ac:dyDescent="0.3">
      <c r="A23" s="3" t="s">
        <v>68</v>
      </c>
      <c r="B23" s="20">
        <f t="shared" si="2"/>
        <v>7</v>
      </c>
      <c r="C23" s="20">
        <f>Economy_Modifier</f>
        <v>2</v>
      </c>
      <c r="D23" s="20">
        <f t="shared" si="1"/>
        <v>4</v>
      </c>
      <c r="E23" s="21" t="b">
        <v>1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1" t="s">
        <v>130</v>
      </c>
      <c r="P23" s="42"/>
      <c r="Q23" s="43"/>
      <c r="T23" s="45" t="s">
        <v>122</v>
      </c>
      <c r="U23" s="45"/>
      <c r="V23" s="45"/>
      <c r="X23" s="35">
        <v>20</v>
      </c>
      <c r="Y23" s="36">
        <v>40</v>
      </c>
      <c r="Z23" s="34" t="s">
        <v>162</v>
      </c>
    </row>
    <row r="24" spans="1:26" ht="20.25" customHeight="1" x14ac:dyDescent="0.3">
      <c r="A24" s="3" t="s">
        <v>69</v>
      </c>
      <c r="B24" s="6">
        <f t="shared" si="2"/>
        <v>8</v>
      </c>
      <c r="C24" s="6">
        <f>Stability_Modifier</f>
        <v>3</v>
      </c>
      <c r="D24" s="6">
        <f t="shared" si="1"/>
        <v>4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41" t="s">
        <v>131</v>
      </c>
      <c r="P24" s="42"/>
      <c r="Q24" s="43"/>
      <c r="T24" s="45" t="s">
        <v>123</v>
      </c>
      <c r="U24" s="45"/>
      <c r="V24" s="45"/>
    </row>
    <row r="25" spans="1:26" ht="20.25" customHeight="1" x14ac:dyDescent="0.3">
      <c r="A25" s="3" t="s">
        <v>70</v>
      </c>
      <c r="B25" s="20">
        <f t="shared" si="2"/>
        <v>8</v>
      </c>
      <c r="C25" s="20">
        <f>Stability_Modifier</f>
        <v>3</v>
      </c>
      <c r="D25" s="20">
        <f t="shared" si="1"/>
        <v>4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8"/>
      <c r="P25" s="39"/>
      <c r="Q25" s="40"/>
      <c r="T25" s="48" t="s">
        <v>53</v>
      </c>
      <c r="U25" s="48"/>
      <c r="V25" s="48"/>
    </row>
    <row r="26" spans="1:26" ht="20.25" customHeight="1" x14ac:dyDescent="0.3">
      <c r="A26" s="3" t="s">
        <v>52</v>
      </c>
      <c r="B26" s="6">
        <f t="shared" si="2"/>
        <v>6</v>
      </c>
      <c r="C26" s="6">
        <f>Economy_Modifier</f>
        <v>2</v>
      </c>
      <c r="D26" s="6">
        <f t="shared" si="1"/>
        <v>4</v>
      </c>
      <c r="E26" s="9" t="b">
        <v>1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8"/>
      <c r="P26" s="39"/>
      <c r="Q26" s="40"/>
      <c r="T26" s="64"/>
      <c r="U26" s="64"/>
      <c r="V26" s="64"/>
    </row>
    <row r="27" spans="1:26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8"/>
      <c r="P27" s="39"/>
      <c r="Q27" s="40"/>
      <c r="T27" s="46"/>
      <c r="U27" s="46"/>
      <c r="V27" s="46"/>
    </row>
    <row r="28" spans="1:26" ht="20.25" customHeight="1" x14ac:dyDescent="0.3">
      <c r="A28" s="3" t="s">
        <v>72</v>
      </c>
      <c r="B28" s="6">
        <f t="shared" si="2"/>
        <v>2</v>
      </c>
      <c r="C28" s="6">
        <f>Economy_Modifier</f>
        <v>2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41" t="s">
        <v>132</v>
      </c>
      <c r="P28" s="42"/>
      <c r="Q28" s="43"/>
      <c r="T28" s="47" t="s">
        <v>127</v>
      </c>
      <c r="U28" s="47"/>
      <c r="V28" s="47"/>
    </row>
    <row r="29" spans="1:26" ht="20.25" customHeight="1" x14ac:dyDescent="0.3">
      <c r="A29" s="3" t="s">
        <v>73</v>
      </c>
      <c r="B29" s="20">
        <f t="shared" si="2"/>
        <v>3</v>
      </c>
      <c r="C29" s="20">
        <f>Loyalty_Modifier</f>
        <v>2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8"/>
      <c r="P29" s="39"/>
      <c r="Q29" s="40"/>
      <c r="T29" s="9" t="s">
        <v>128</v>
      </c>
      <c r="U29" s="47" t="s">
        <v>129</v>
      </c>
      <c r="V29" s="47"/>
    </row>
    <row r="30" spans="1:26" ht="20.25" customHeight="1" x14ac:dyDescent="0.3">
      <c r="A30" s="3" t="s">
        <v>74</v>
      </c>
      <c r="B30" s="6">
        <f t="shared" si="2"/>
        <v>6</v>
      </c>
      <c r="C30" s="6">
        <f>Culture_Modifier</f>
        <v>1</v>
      </c>
      <c r="D30" s="6">
        <f t="shared" si="1"/>
        <v>4</v>
      </c>
      <c r="E30" s="9" t="b">
        <v>1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8"/>
      <c r="P30" s="39"/>
      <c r="Q30" s="40"/>
      <c r="T30" s="6">
        <v>2</v>
      </c>
      <c r="U30" s="52" t="s">
        <v>80</v>
      </c>
      <c r="V30" s="52"/>
    </row>
    <row r="31" spans="1:26" ht="20.25" customHeight="1" x14ac:dyDescent="0.3">
      <c r="A31" s="3" t="s">
        <v>75</v>
      </c>
      <c r="B31" s="20">
        <f t="shared" si="2"/>
        <v>7</v>
      </c>
      <c r="C31" s="20">
        <f>Loyalty_Modifier</f>
        <v>2</v>
      </c>
      <c r="D31" s="20">
        <f t="shared" si="1"/>
        <v>4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8"/>
      <c r="P31" s="39"/>
      <c r="Q31" s="40"/>
      <c r="T31" s="6">
        <v>3</v>
      </c>
      <c r="U31" s="52"/>
      <c r="V31" s="52"/>
    </row>
    <row r="32" spans="1:26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41" t="s">
        <v>133</v>
      </c>
      <c r="P32" s="42"/>
      <c r="Q32" s="43"/>
      <c r="T32" s="6">
        <v>4</v>
      </c>
      <c r="U32" s="52"/>
      <c r="V32" s="52"/>
    </row>
    <row r="33" spans="1:22" ht="20.25" customHeight="1" x14ac:dyDescent="0.3">
      <c r="A33" s="3" t="s">
        <v>77</v>
      </c>
      <c r="B33" s="20">
        <f t="shared" si="2"/>
        <v>7</v>
      </c>
      <c r="C33" s="20">
        <f>Loyalty_Modifier</f>
        <v>2</v>
      </c>
      <c r="D33" s="20">
        <f t="shared" si="1"/>
        <v>4</v>
      </c>
      <c r="E33" s="21" t="b">
        <v>1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8"/>
      <c r="P33" s="39"/>
      <c r="Q33" s="40"/>
      <c r="T33" s="6">
        <v>5</v>
      </c>
      <c r="U33" s="52"/>
      <c r="V33" s="52"/>
    </row>
    <row r="34" spans="1:22" ht="20.25" customHeight="1" x14ac:dyDescent="0.3">
      <c r="A34" s="3" t="s">
        <v>78</v>
      </c>
      <c r="B34" s="6">
        <f t="shared" si="2"/>
        <v>6</v>
      </c>
      <c r="C34" s="6">
        <f>Economy_Modifier</f>
        <v>2</v>
      </c>
      <c r="D34" s="6">
        <f t="shared" si="1"/>
        <v>4</v>
      </c>
      <c r="E34" s="9" t="b">
        <v>1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8"/>
      <c r="P34" s="39"/>
      <c r="Q34" s="40"/>
      <c r="T34" s="6">
        <v>6</v>
      </c>
      <c r="U34" s="52"/>
      <c r="V34" s="52"/>
    </row>
    <row r="35" spans="1:22" ht="20.25" customHeight="1" x14ac:dyDescent="0.3">
      <c r="A35" s="3" t="s">
        <v>79</v>
      </c>
      <c r="B35" s="20">
        <f t="shared" si="2"/>
        <v>3</v>
      </c>
      <c r="C35" s="20">
        <f>Loyalty_Modifier</f>
        <v>2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8"/>
      <c r="P35" s="39"/>
      <c r="Q35" s="40"/>
      <c r="T35" s="6">
        <v>7</v>
      </c>
      <c r="U35" s="52"/>
      <c r="V35" s="52"/>
    </row>
    <row r="36" spans="1:22" ht="20.25" customHeight="1" x14ac:dyDescent="0.3">
      <c r="A36" s="3" t="s">
        <v>80</v>
      </c>
      <c r="B36" s="6">
        <f t="shared" si="2"/>
        <v>10</v>
      </c>
      <c r="C36" s="6">
        <f>Stability_Modifier</f>
        <v>3</v>
      </c>
      <c r="D36" s="6">
        <f t="shared" si="1"/>
        <v>6</v>
      </c>
      <c r="E36" s="9" t="b">
        <v>1</v>
      </c>
      <c r="F36" s="9" t="b">
        <v>1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41" t="s">
        <v>134</v>
      </c>
      <c r="P36" s="42"/>
      <c r="Q36" s="43"/>
      <c r="T36" s="6">
        <v>8</v>
      </c>
      <c r="U36" s="52"/>
      <c r="V36" s="52"/>
    </row>
    <row r="37" spans="1:22" ht="20.25" customHeight="1" x14ac:dyDescent="0.3">
      <c r="E37" s="5"/>
      <c r="F37" s="5"/>
      <c r="G37" s="5"/>
      <c r="O37" s="38"/>
      <c r="P37" s="39"/>
      <c r="Q37" s="40"/>
      <c r="T37" s="6">
        <v>9</v>
      </c>
      <c r="U37" s="52"/>
      <c r="V37" s="52"/>
    </row>
    <row r="38" spans="1:22" ht="20.25" customHeight="1" x14ac:dyDescent="0.3">
      <c r="B38" s="56" t="s">
        <v>82</v>
      </c>
      <c r="C38" s="56"/>
      <c r="J38" s="56" t="s">
        <v>89</v>
      </c>
      <c r="K38" s="56"/>
      <c r="M38" s="7" t="s">
        <v>78</v>
      </c>
      <c r="O38" s="38"/>
      <c r="P38" s="39"/>
      <c r="Q38" s="40"/>
      <c r="T38" s="6">
        <v>10</v>
      </c>
      <c r="U38" s="52"/>
      <c r="V38" s="52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49"/>
      <c r="P39" s="50"/>
      <c r="Q39" s="51"/>
      <c r="T39" s="6">
        <v>11</v>
      </c>
      <c r="U39" s="52"/>
      <c r="V39" s="52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52"/>
      <c r="V40" s="52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52"/>
      <c r="V41" s="52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52"/>
      <c r="V42" s="52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52"/>
      <c r="V43" s="52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52"/>
      <c r="V44" s="52"/>
    </row>
    <row r="45" spans="1:22" ht="20.25" customHeight="1" x14ac:dyDescent="0.3">
      <c r="T45" s="6">
        <v>17</v>
      </c>
      <c r="U45" s="52"/>
      <c r="V45" s="52"/>
    </row>
    <row r="46" spans="1:22" s="5" customFormat="1" ht="20.25" customHeight="1" x14ac:dyDescent="0.3">
      <c r="A46" s="56" t="s">
        <v>98</v>
      </c>
      <c r="B46" s="56"/>
      <c r="C46" s="56"/>
      <c r="E46" s="56" t="s">
        <v>99</v>
      </c>
      <c r="F46" s="56"/>
      <c r="G46" s="56"/>
      <c r="H46" s="56"/>
      <c r="I46" s="56"/>
      <c r="J46" s="56"/>
      <c r="K46" s="56"/>
      <c r="L46" s="56"/>
      <c r="N46" s="56" t="s">
        <v>100</v>
      </c>
      <c r="O46" s="56"/>
      <c r="P46" s="56"/>
      <c r="Q46" s="56"/>
      <c r="T46" s="6">
        <v>18</v>
      </c>
      <c r="U46" s="52"/>
      <c r="V46" s="52"/>
    </row>
    <row r="47" spans="1:22" ht="20.25" customHeight="1" x14ac:dyDescent="0.3">
      <c r="A47" s="53"/>
      <c r="B47" s="54"/>
      <c r="C47" s="55"/>
      <c r="E47" s="53" t="s">
        <v>126</v>
      </c>
      <c r="F47" s="54"/>
      <c r="G47" s="54"/>
      <c r="H47" s="54"/>
      <c r="I47" s="54"/>
      <c r="J47" s="54"/>
      <c r="K47" s="54"/>
      <c r="L47" s="55"/>
      <c r="N47" s="45"/>
      <c r="O47" s="45"/>
      <c r="P47" s="45"/>
      <c r="Q47" s="45"/>
      <c r="T47" s="6">
        <v>19</v>
      </c>
      <c r="U47" s="52"/>
      <c r="V47" s="52"/>
    </row>
    <row r="48" spans="1:22" ht="20.25" customHeight="1" x14ac:dyDescent="0.3">
      <c r="A48" s="53"/>
      <c r="B48" s="54"/>
      <c r="C48" s="55"/>
      <c r="E48" s="53"/>
      <c r="F48" s="54"/>
      <c r="G48" s="54"/>
      <c r="H48" s="54"/>
      <c r="I48" s="54"/>
      <c r="J48" s="54"/>
      <c r="K48" s="54"/>
      <c r="L48" s="55"/>
      <c r="N48" s="45"/>
      <c r="O48" s="45"/>
      <c r="P48" s="45"/>
      <c r="Q48" s="45"/>
      <c r="T48" s="6">
        <v>20</v>
      </c>
      <c r="U48" s="52"/>
      <c r="V48" s="52"/>
    </row>
    <row r="49" spans="1:17" ht="20.25" customHeight="1" x14ac:dyDescent="0.3">
      <c r="A49" s="53"/>
      <c r="B49" s="54"/>
      <c r="C49" s="55"/>
      <c r="E49" s="53"/>
      <c r="F49" s="54"/>
      <c r="G49" s="54"/>
      <c r="H49" s="54"/>
      <c r="I49" s="54"/>
      <c r="J49" s="54"/>
      <c r="K49" s="54"/>
      <c r="L49" s="55"/>
      <c r="N49" s="45"/>
      <c r="O49" s="45"/>
      <c r="P49" s="45"/>
      <c r="Q49" s="45"/>
    </row>
    <row r="50" spans="1:17" ht="20.25" customHeight="1" x14ac:dyDescent="0.3">
      <c r="A50" s="53"/>
      <c r="B50" s="54"/>
      <c r="C50" s="55"/>
      <c r="E50" s="53"/>
      <c r="F50" s="54"/>
      <c r="G50" s="54"/>
      <c r="H50" s="54"/>
      <c r="I50" s="54"/>
      <c r="J50" s="54"/>
      <c r="K50" s="54"/>
      <c r="L50" s="55"/>
      <c r="N50" s="45"/>
      <c r="O50" s="45"/>
      <c r="P50" s="45"/>
      <c r="Q50" s="45"/>
    </row>
  </sheetData>
  <mergeCells count="115">
    <mergeCell ref="X2:Z2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T10:V10"/>
    <mergeCell ref="T11:V11"/>
    <mergeCell ref="T12:V12"/>
    <mergeCell ref="U29:V29"/>
    <mergeCell ref="U30:V30"/>
    <mergeCell ref="U31:V31"/>
    <mergeCell ref="U32:V32"/>
    <mergeCell ref="U33:V33"/>
    <mergeCell ref="T18:V18"/>
    <mergeCell ref="T19:V19"/>
    <mergeCell ref="T20:V20"/>
    <mergeCell ref="T26:V26"/>
    <mergeCell ref="T9:V9"/>
    <mergeCell ref="E2:H2"/>
    <mergeCell ref="E4:H4"/>
    <mergeCell ref="O1:Q1"/>
    <mergeCell ref="O12:Q12"/>
    <mergeCell ref="O13:Q13"/>
    <mergeCell ref="B1:D1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E1:H1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J38:K38"/>
    <mergeCell ref="O27:Q27"/>
    <mergeCell ref="O28:Q28"/>
    <mergeCell ref="O18:Q18"/>
    <mergeCell ref="O19:Q19"/>
    <mergeCell ref="O20:Q20"/>
    <mergeCell ref="O21:Q21"/>
    <mergeCell ref="O37:Q37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O29:Q29"/>
    <mergeCell ref="O30:Q30"/>
    <mergeCell ref="O31:Q31"/>
    <mergeCell ref="O32:Q32"/>
    <mergeCell ref="O33:Q33"/>
    <mergeCell ref="T2:V2"/>
    <mergeCell ref="T3:V3"/>
    <mergeCell ref="T4:V4"/>
    <mergeCell ref="T5:V5"/>
    <mergeCell ref="T6:V6"/>
    <mergeCell ref="T7:V7"/>
    <mergeCell ref="T8:V8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39"/>
  <sheetViews>
    <sheetView zoomScale="75" zoomScaleNormal="75" workbookViewId="0">
      <selection activeCell="G38" sqref="G38:Q38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68" t="s">
        <v>104</v>
      </c>
      <c r="E1" s="68"/>
      <c r="F1" s="68"/>
      <c r="G1" s="30"/>
      <c r="H1" s="31" t="s">
        <v>15</v>
      </c>
      <c r="I1" s="32">
        <v>1</v>
      </c>
      <c r="J1" s="30"/>
      <c r="K1" s="69" t="s">
        <v>105</v>
      </c>
      <c r="L1" s="69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66" t="s">
        <v>102</v>
      </c>
      <c r="I15" s="67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7" ht="18.75" customHeight="1" x14ac:dyDescent="0.25"/>
    <row r="18" spans="2:17" ht="18.75" customHeight="1" x14ac:dyDescent="0.3">
      <c r="B18" s="65" t="s">
        <v>101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</row>
    <row r="19" spans="2:17" ht="18.75" customHeight="1" x14ac:dyDescent="0.25"/>
    <row r="22" spans="2:17" ht="21" customHeight="1" x14ac:dyDescent="0.25">
      <c r="D22" s="70" t="s">
        <v>164</v>
      </c>
      <c r="E22" s="70"/>
      <c r="F22" s="71"/>
      <c r="G22" s="72" t="s">
        <v>165</v>
      </c>
      <c r="H22" s="72"/>
      <c r="I22" s="72"/>
      <c r="J22" s="72"/>
      <c r="K22" s="72"/>
      <c r="L22" s="72"/>
      <c r="M22" s="72"/>
      <c r="N22" s="72"/>
      <c r="O22" s="72"/>
      <c r="P22" s="72"/>
      <c r="Q22" s="72"/>
    </row>
    <row r="23" spans="2:17" ht="21" customHeight="1" x14ac:dyDescent="0.25">
      <c r="D23" s="70" t="s">
        <v>166</v>
      </c>
      <c r="E23" s="70"/>
      <c r="F23" s="71"/>
      <c r="G23" s="72" t="s">
        <v>167</v>
      </c>
      <c r="H23" s="72"/>
      <c r="I23" s="72"/>
      <c r="J23" s="72"/>
      <c r="K23" s="72"/>
      <c r="L23" s="72"/>
      <c r="M23" s="72"/>
      <c r="N23" s="72"/>
      <c r="O23" s="72"/>
      <c r="P23" s="72"/>
      <c r="Q23" s="72"/>
    </row>
    <row r="24" spans="2:17" ht="21" customHeight="1" x14ac:dyDescent="0.25">
      <c r="D24" s="70" t="s">
        <v>168</v>
      </c>
      <c r="E24" s="70"/>
      <c r="F24" s="71"/>
      <c r="G24" s="72" t="s">
        <v>169</v>
      </c>
      <c r="H24" s="72"/>
      <c r="I24" s="72"/>
      <c r="J24" s="72"/>
      <c r="K24" s="72"/>
      <c r="L24" s="72"/>
      <c r="M24" s="72"/>
      <c r="N24" s="72"/>
      <c r="O24" s="72"/>
      <c r="P24" s="72"/>
      <c r="Q24" s="72"/>
    </row>
    <row r="25" spans="2:17" ht="21" customHeight="1" x14ac:dyDescent="0.25">
      <c r="D25" s="70" t="s">
        <v>170</v>
      </c>
      <c r="E25" s="70"/>
      <c r="F25" s="71"/>
      <c r="G25" s="72" t="s">
        <v>171</v>
      </c>
      <c r="H25" s="72"/>
      <c r="I25" s="72"/>
      <c r="J25" s="72"/>
      <c r="K25" s="72"/>
      <c r="L25" s="72"/>
      <c r="M25" s="72"/>
      <c r="N25" s="72"/>
      <c r="O25" s="72"/>
      <c r="P25" s="72"/>
      <c r="Q25" s="72"/>
    </row>
    <row r="26" spans="2:17" ht="21" customHeight="1" x14ac:dyDescent="0.25">
      <c r="D26" s="70" t="s">
        <v>172</v>
      </c>
      <c r="E26" s="70"/>
      <c r="F26" s="71"/>
      <c r="G26" s="72" t="s">
        <v>173</v>
      </c>
      <c r="H26" s="72"/>
      <c r="I26" s="72"/>
      <c r="J26" s="72"/>
      <c r="K26" s="72"/>
      <c r="L26" s="72"/>
      <c r="M26" s="72"/>
      <c r="N26" s="72"/>
      <c r="O26" s="72"/>
      <c r="P26" s="72"/>
      <c r="Q26" s="72"/>
    </row>
    <row r="27" spans="2:17" ht="21" customHeight="1" x14ac:dyDescent="0.25">
      <c r="D27" s="70" t="s">
        <v>174</v>
      </c>
      <c r="E27" s="70"/>
      <c r="F27" s="71"/>
      <c r="G27" s="72" t="s">
        <v>175</v>
      </c>
      <c r="H27" s="72"/>
      <c r="I27" s="72"/>
      <c r="J27" s="72"/>
      <c r="K27" s="72"/>
      <c r="L27" s="72"/>
      <c r="M27" s="72"/>
      <c r="N27" s="72"/>
      <c r="O27" s="72"/>
      <c r="P27" s="72"/>
      <c r="Q27" s="72"/>
    </row>
    <row r="28" spans="2:17" ht="21" customHeight="1" x14ac:dyDescent="0.25">
      <c r="D28" s="70" t="s">
        <v>176</v>
      </c>
      <c r="E28" s="70"/>
      <c r="F28" s="71"/>
      <c r="G28" s="72" t="s">
        <v>177</v>
      </c>
      <c r="H28" s="72"/>
      <c r="I28" s="72"/>
      <c r="J28" s="72"/>
      <c r="K28" s="72"/>
      <c r="L28" s="72"/>
      <c r="M28" s="72"/>
      <c r="N28" s="72"/>
      <c r="O28" s="72"/>
      <c r="P28" s="72"/>
      <c r="Q28" s="72"/>
    </row>
    <row r="29" spans="2:17" ht="21" customHeight="1" x14ac:dyDescent="0.25">
      <c r="D29" s="70" t="s">
        <v>178</v>
      </c>
      <c r="E29" s="70"/>
      <c r="F29" s="71"/>
      <c r="G29" s="72" t="s">
        <v>179</v>
      </c>
      <c r="H29" s="72"/>
      <c r="I29" s="72"/>
      <c r="J29" s="72"/>
      <c r="K29" s="72"/>
      <c r="L29" s="72"/>
      <c r="M29" s="72"/>
      <c r="N29" s="72"/>
      <c r="O29" s="72"/>
      <c r="P29" s="72"/>
      <c r="Q29" s="72"/>
    </row>
    <row r="30" spans="2:17" ht="21" customHeight="1" x14ac:dyDescent="0.25">
      <c r="D30" s="70" t="s">
        <v>180</v>
      </c>
      <c r="E30" s="70"/>
      <c r="F30" s="71"/>
      <c r="G30" s="72" t="s">
        <v>181</v>
      </c>
      <c r="H30" s="72"/>
      <c r="I30" s="72"/>
      <c r="J30" s="72"/>
      <c r="K30" s="72"/>
      <c r="L30" s="72"/>
      <c r="M30" s="72"/>
      <c r="N30" s="72"/>
      <c r="O30" s="72"/>
      <c r="P30" s="72"/>
      <c r="Q30" s="72"/>
    </row>
    <row r="31" spans="2:17" ht="21" customHeight="1" x14ac:dyDescent="0.25">
      <c r="D31" s="70" t="s">
        <v>182</v>
      </c>
      <c r="E31" s="70"/>
      <c r="F31" s="71"/>
      <c r="G31" s="72" t="s">
        <v>183</v>
      </c>
      <c r="H31" s="72"/>
      <c r="I31" s="72"/>
      <c r="J31" s="72"/>
      <c r="K31" s="72"/>
      <c r="L31" s="72"/>
      <c r="M31" s="72"/>
      <c r="N31" s="72"/>
      <c r="O31" s="72"/>
      <c r="P31" s="72"/>
      <c r="Q31" s="72"/>
    </row>
    <row r="32" spans="2:17" ht="21" customHeight="1" x14ac:dyDescent="0.25">
      <c r="D32" s="70" t="s">
        <v>184</v>
      </c>
      <c r="E32" s="70"/>
      <c r="F32" s="71"/>
      <c r="G32" s="72" t="s">
        <v>185</v>
      </c>
      <c r="H32" s="72"/>
      <c r="I32" s="72"/>
      <c r="J32" s="72"/>
      <c r="K32" s="72"/>
      <c r="L32" s="72"/>
      <c r="M32" s="72"/>
      <c r="N32" s="72"/>
      <c r="O32" s="72"/>
      <c r="P32" s="72"/>
      <c r="Q32" s="72"/>
    </row>
    <row r="33" spans="4:17" ht="21" customHeight="1" x14ac:dyDescent="0.25">
      <c r="D33" s="70" t="s">
        <v>186</v>
      </c>
      <c r="E33" s="70"/>
      <c r="F33" s="71"/>
      <c r="G33" s="72" t="s">
        <v>187</v>
      </c>
      <c r="H33" s="72"/>
      <c r="I33" s="72"/>
      <c r="J33" s="72"/>
      <c r="K33" s="72"/>
      <c r="L33" s="72"/>
      <c r="M33" s="72"/>
      <c r="N33" s="72"/>
      <c r="O33" s="72"/>
      <c r="P33" s="72"/>
      <c r="Q33" s="72"/>
    </row>
    <row r="34" spans="4:17" ht="21" customHeight="1" x14ac:dyDescent="0.25">
      <c r="D34" s="70" t="s">
        <v>188</v>
      </c>
      <c r="E34" s="70"/>
      <c r="F34" s="71"/>
      <c r="G34" s="72" t="s">
        <v>189</v>
      </c>
      <c r="H34" s="72"/>
      <c r="I34" s="72"/>
      <c r="J34" s="72"/>
      <c r="K34" s="72"/>
      <c r="L34" s="72"/>
      <c r="M34" s="72"/>
      <c r="N34" s="72"/>
      <c r="O34" s="72"/>
      <c r="P34" s="72"/>
      <c r="Q34" s="72"/>
    </row>
    <row r="35" spans="4:17" ht="21" customHeight="1" x14ac:dyDescent="0.25">
      <c r="D35" s="70" t="s">
        <v>190</v>
      </c>
      <c r="E35" s="70"/>
      <c r="F35" s="71"/>
      <c r="G35" s="72" t="s">
        <v>177</v>
      </c>
      <c r="H35" s="72"/>
      <c r="I35" s="72"/>
      <c r="J35" s="72"/>
      <c r="K35" s="72"/>
      <c r="L35" s="72"/>
      <c r="M35" s="72"/>
      <c r="N35" s="72"/>
      <c r="O35" s="72"/>
      <c r="P35" s="72"/>
      <c r="Q35" s="72"/>
    </row>
    <row r="36" spans="4:17" ht="21" customHeight="1" x14ac:dyDescent="0.25">
      <c r="D36" s="70" t="s">
        <v>191</v>
      </c>
      <c r="E36" s="70"/>
      <c r="F36" s="71"/>
      <c r="G36" s="72" t="s">
        <v>192</v>
      </c>
      <c r="H36" s="72"/>
      <c r="I36" s="72"/>
      <c r="J36" s="72"/>
      <c r="K36" s="72"/>
      <c r="L36" s="72"/>
      <c r="M36" s="72"/>
      <c r="N36" s="72"/>
      <c r="O36" s="72"/>
      <c r="P36" s="72"/>
      <c r="Q36" s="72"/>
    </row>
    <row r="37" spans="4:17" ht="21" customHeight="1" x14ac:dyDescent="0.25">
      <c r="D37" s="70" t="s">
        <v>193</v>
      </c>
      <c r="E37" s="70"/>
      <c r="F37" s="71"/>
      <c r="G37" s="72" t="s">
        <v>194</v>
      </c>
      <c r="H37" s="72"/>
      <c r="I37" s="72"/>
      <c r="J37" s="72"/>
      <c r="K37" s="72"/>
      <c r="L37" s="72"/>
      <c r="M37" s="72"/>
      <c r="N37" s="72"/>
      <c r="O37" s="72"/>
      <c r="P37" s="72"/>
      <c r="Q37" s="72"/>
    </row>
    <row r="38" spans="4:17" ht="21" customHeight="1" x14ac:dyDescent="0.25">
      <c r="D38" s="70" t="s">
        <v>195</v>
      </c>
      <c r="E38" s="70"/>
      <c r="F38" s="71"/>
      <c r="G38" s="72" t="s">
        <v>196</v>
      </c>
      <c r="H38" s="72"/>
      <c r="I38" s="72"/>
      <c r="J38" s="72"/>
      <c r="K38" s="72"/>
      <c r="L38" s="72"/>
      <c r="M38" s="72"/>
      <c r="N38" s="72"/>
      <c r="O38" s="72"/>
      <c r="P38" s="72"/>
      <c r="Q38" s="72"/>
    </row>
    <row r="39" spans="4:17" ht="21" customHeight="1" x14ac:dyDescent="0.25">
      <c r="D39" s="70" t="s">
        <v>197</v>
      </c>
      <c r="E39" s="70"/>
      <c r="F39" s="71"/>
      <c r="G39" s="72" t="s">
        <v>198</v>
      </c>
      <c r="H39" s="72"/>
      <c r="I39" s="72"/>
      <c r="J39" s="72"/>
      <c r="K39" s="72"/>
      <c r="L39" s="72"/>
      <c r="M39" s="72"/>
      <c r="N39" s="72"/>
      <c r="O39" s="72"/>
      <c r="P39" s="72"/>
      <c r="Q39" s="72"/>
    </row>
  </sheetData>
  <mergeCells count="40">
    <mergeCell ref="D37:F37"/>
    <mergeCell ref="D38:F38"/>
    <mergeCell ref="D39:F39"/>
    <mergeCell ref="G37:Q37"/>
    <mergeCell ref="G38:Q38"/>
    <mergeCell ref="G39:Q39"/>
    <mergeCell ref="D34:F34"/>
    <mergeCell ref="D35:F35"/>
    <mergeCell ref="D36:F36"/>
    <mergeCell ref="G34:Q34"/>
    <mergeCell ref="G35:Q35"/>
    <mergeCell ref="G36:Q36"/>
    <mergeCell ref="D31:F31"/>
    <mergeCell ref="D32:F32"/>
    <mergeCell ref="D33:F33"/>
    <mergeCell ref="G33:Q33"/>
    <mergeCell ref="G32:Q32"/>
    <mergeCell ref="G31:Q31"/>
    <mergeCell ref="D28:F28"/>
    <mergeCell ref="D29:F29"/>
    <mergeCell ref="D30:F30"/>
    <mergeCell ref="G30:Q30"/>
    <mergeCell ref="G29:Q29"/>
    <mergeCell ref="G28:Q28"/>
    <mergeCell ref="D25:F25"/>
    <mergeCell ref="D26:F26"/>
    <mergeCell ref="D27:F27"/>
    <mergeCell ref="G27:Q27"/>
    <mergeCell ref="G26:Q26"/>
    <mergeCell ref="G25:Q25"/>
    <mergeCell ref="D23:F23"/>
    <mergeCell ref="D24:F24"/>
    <mergeCell ref="G24:Q24"/>
    <mergeCell ref="G23:Q23"/>
    <mergeCell ref="G22:Q22"/>
    <mergeCell ref="B18:N18"/>
    <mergeCell ref="H15:I15"/>
    <mergeCell ref="D1:F1"/>
    <mergeCell ref="K1:L1"/>
    <mergeCell ref="D22:F22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165</vt:i4>
      </vt:variant>
    </vt:vector>
  </HeadingPairs>
  <TitlesOfParts>
    <vt:vector size="167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freeCharterSkill</vt:lpstr>
      <vt:lpstr>freeHeartlandSkill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Daniel</cp:lastModifiedBy>
  <cp:lastPrinted>2024-03-11T15:50:31Z</cp:lastPrinted>
  <dcterms:created xsi:type="dcterms:W3CDTF">2015-06-05T18:17:20Z</dcterms:created>
  <dcterms:modified xsi:type="dcterms:W3CDTF">2024-10-02T13:54:39Z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