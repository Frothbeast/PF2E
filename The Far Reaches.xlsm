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C3E0617B-4412-49A4-9E53-14130598EE2F}" xr6:coauthVersionLast="47" xr6:coauthVersionMax="47" xr10:uidLastSave="{00000000-0000-0000-0000-000000000000}"/>
  <bookViews>
    <workbookView xWindow="28920" yWindow="120" windowWidth="12375" windowHeight="1560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l">Kingdom!$K$1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1" l="1"/>
  <c r="B18" i="1" s="1"/>
  <c r="I34" i="1"/>
  <c r="I28" i="1"/>
  <c r="I26" i="1"/>
  <c r="I23" i="1"/>
  <c r="I36" i="1"/>
  <c r="I25" i="1"/>
  <c r="I24" i="1"/>
  <c r="I21" i="1"/>
  <c r="I32" i="1"/>
  <c r="I30" i="1"/>
  <c r="I27" i="1"/>
  <c r="I22" i="1"/>
  <c r="I35" i="1"/>
  <c r="I33" i="1"/>
  <c r="I31" i="1"/>
  <c r="I29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00000000-0006-0000-0000-000001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00000000-0006-0000-0000-000002000000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00000000-0006-0000-0000-000003000000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00000000-0006-0000-0000-000004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00000000-0006-0000-0000-000005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00000000-0006-0000-0000-000006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00000000-0006-0000-0000-000007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00000000-0006-0000-0000-000008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00000000-0006-0000-0000-000009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00000000-0006-0000-0000-00000A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00000000-0006-0000-0000-00000B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00000000-0006-0000-0000-00000C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00000000-0006-0000-0000-00000D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00000000-0006-0000-0000-00000E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00000000-0006-0000-0000-00000F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00000000-0006-0000-0000-000010000000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<sst xmlns="http://schemas.openxmlformats.org/spreadsheetml/2006/main" count="149" uniqueCount="130">
  <si>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</si>
  <si>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</si>
  <si>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</si>
  <si>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</si>
  <si>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</si>
  <si>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</si>
  <si>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</si>
  <si>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</si>
  <si>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</si>
  <si>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</si>
  <si>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</si>
  <si>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</si>
  <si>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</si>
  <si>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</si>
  <si>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</si>
  <si>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</si>
  <si>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</si>
  <si>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</si>
  <si>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</si>
  <si>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</si>
  <si>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</si>
  <si>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</si>
  <si>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</si>
  <si>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</si>
  <si>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</si>
  <si>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</si>
  <si>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</si>
  <si>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</si>
  <si>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</si>
  <si>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</si>
  <si>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</si>
  <si>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</si>
  <si>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</si>
  <si>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</si>
  <si>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</si>
  <si>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</si>
  <si>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</si>
  <si>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</si>
  <si>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</si>
  <si>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</si>
  <si>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</si>
  <si>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</si>
  <si>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</si>
  <si>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</si>
  <si>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</si>
  <si>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</si>
  <si>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</si>
  <si>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</si>
  <si>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</si>
  <si>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</si>
  <si>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</si>
  <si>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</si>
  <si>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</si>
  <si>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</si>
  <si>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</si>
  <si>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</si>
  <si>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</si>
  <si>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</si>
  <si>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</si>
  <si>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</si>
  <si>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</si>
  <si>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</si>
  <si>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</si>
  <si>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</si>
  <si>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</si>
  <si>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</si>
  <si>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</si>
  <si>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</si>
  <si>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</si>
  <si>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</si>
  <si>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</si>
  <si>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</si>
  <si>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</si>
  <si>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</si>
  <si>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</si>
  <si>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</si>
  <si>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</si>
  <si>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</si>
  <si>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</si>
  <si>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</si>
  <si>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</si>
  <si>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</si>
  <si>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</si>
  <si>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</si>
  <si>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</si>
  <si>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</si>
  <si>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</si>
  <si>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</si>
  <si>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</si>
  <si>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</si>
  <si>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</si>
  <si>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</si>
  <si>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</si>
  <si>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</si>
  <si>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</si>
  <si>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</si>
  <si>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</si>
  <si>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</si>
  <si>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</si>
  <si>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</si>
  <si>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</si>
  <si>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</si>
  <si>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</si>
  <si>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</si>
  <si>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</si>
  <si>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</si>
  <si>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</si>
  <si>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</si>
  <si>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</si>
  <si>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</si>
  <si>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</si>
  <si>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</si>
  <si>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</si>
  <si>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</si>
  <si>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</si>
  <si>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</si>
  <si>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</si>
  <si>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</si>
  <si>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</si>
  <si>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</si>
  <si>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</si>
  <si>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</si>
  <si>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</si>
  <si>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</si>
  <si>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</si>
  <si>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</si>
  <si>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</si>
  <si>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</si>
  <si>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Crush Dissent</t>
  </si>
  <si>
    <t>Bravoy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</si>
</sst>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checked="Checked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checked="Checked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2700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8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2701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8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2702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8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2703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8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2704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9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2705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9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2706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9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2707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9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2708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9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2709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9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2710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9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2711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9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2712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9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2713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9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2714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9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2715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9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2716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9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2717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9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2718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9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2719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9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2720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2721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A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2722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A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2723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A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2724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A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2725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2726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A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2727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A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2728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A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2729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A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2730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A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2731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2732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2733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2734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2735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2736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2737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2738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2739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2740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2741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2742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2743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2744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2745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B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2746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B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2747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2748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B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2749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B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2750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2751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B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2752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C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2753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C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2754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2755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C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2756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2757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2758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2759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2760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2761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0"/>
  <sheetViews>
    <sheetView tabSelected="1" topLeftCell="A25" zoomScale="75" zoomScaleNormal="75" workbookViewId="0">
      <selection activeCell="H42" sqref="H42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A1" s="13" t="s">
        <v>0</v>
      </c>
      <c r="B1" s="51" t="s">
        <v>51</v>
      </c>
      <c r="C1" s="51"/>
      <c r="D1" s="51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50" t="s">
        <v>20</v>
      </c>
      <c r="P1" s="50"/>
      <c r="Q1" s="50"/>
      <c r="X1" s="1" t="s">
        <v>109</v>
      </c>
    </row>
    <row r="2" spans="1:24" ht="20.25" customHeight="1" x14ac:dyDescent="0.3">
      <c r="A2" s="13" t="s">
        <v>1</v>
      </c>
      <c r="B2" s="51" t="s">
        <v>52</v>
      </c>
      <c r="C2" s="51"/>
      <c r="D2" s="51"/>
      <c r="E2" s="52" t="s">
        <v>23</v>
      </c>
      <c r="F2" s="52"/>
      <c r="G2" s="52"/>
      <c r="H2" s="52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37" t="s">
        <v>108</v>
      </c>
      <c r="U2" s="37"/>
      <c r="V2" s="37"/>
      <c r="X2" s="1" t="s">
        <v>113</v>
      </c>
    </row>
    <row r="3" spans="1:24" ht="20.25" customHeight="1" x14ac:dyDescent="0.3">
      <c r="A3" s="13" t="s">
        <v>2</v>
      </c>
      <c r="B3" s="51" t="s">
        <v>53</v>
      </c>
      <c r="C3" s="51"/>
      <c r="D3" s="51"/>
      <c r="O3" s="6" t="b">
        <v>1</v>
      </c>
      <c r="P3" s="6" t="s">
        <v>30</v>
      </c>
      <c r="Q3" s="6" t="s">
        <v>38</v>
      </c>
      <c r="T3" s="35" t="s">
        <v>113</v>
      </c>
      <c r="U3" s="35"/>
      <c r="V3" s="35"/>
    </row>
    <row r="4" spans="1:24" ht="20.25" customHeight="1" x14ac:dyDescent="0.3">
      <c r="A4" s="13" t="s">
        <v>3</v>
      </c>
      <c r="B4" s="51" t="s">
        <v>113</v>
      </c>
      <c r="C4" s="51"/>
      <c r="D4" s="51"/>
      <c r="E4" s="52" t="s">
        <v>22</v>
      </c>
      <c r="F4" s="52"/>
      <c r="G4" s="52"/>
      <c r="H4" s="52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35" t="s">
        <v>109</v>
      </c>
      <c r="U4" s="35"/>
      <c r="V4" s="35"/>
    </row>
    <row r="5" spans="1:24" ht="20.25" customHeight="1" x14ac:dyDescent="0.3">
      <c r="A5" s="13" t="s">
        <v>4</v>
      </c>
      <c r="B5" s="51" t="s">
        <v>55</v>
      </c>
      <c r="C5" s="51"/>
      <c r="D5" s="51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35" t="s">
        <v>110</v>
      </c>
      <c r="U5" s="35"/>
      <c r="V5" s="35"/>
    </row>
    <row r="6" spans="1:24" ht="20.25" customHeight="1" x14ac:dyDescent="0.3">
      <c r="N6" s="16"/>
      <c r="O6" s="6" t="b">
        <v>0</v>
      </c>
      <c r="P6" s="6" t="s">
        <v>33</v>
      </c>
      <c r="Q6" s="6" t="s">
        <v>41</v>
      </c>
      <c r="T6" s="35" t="s">
        <v>54</v>
      </c>
      <c r="U6" s="35"/>
      <c r="V6" s="35"/>
    </row>
    <row r="7" spans="1:24" ht="20.25" customHeight="1" x14ac:dyDescent="0.3">
      <c r="N7" s="11"/>
      <c r="O7" s="6" t="b">
        <v>1</v>
      </c>
      <c r="P7" s="6" t="s">
        <v>34</v>
      </c>
      <c r="Q7" s="6" t="s">
        <v>42</v>
      </c>
      <c r="T7" s="35" t="s">
        <v>111</v>
      </c>
      <c r="U7" s="35"/>
      <c r="V7" s="35"/>
    </row>
    <row r="8" spans="1:24" ht="20.25" customHeight="1" x14ac:dyDescent="0.3">
      <c r="N8" s="11"/>
      <c r="O8" s="6" t="b">
        <v>0</v>
      </c>
      <c r="P8" s="6" t="s">
        <v>35</v>
      </c>
      <c r="Q8" s="6"/>
      <c r="T8" s="35" t="s">
        <v>112</v>
      </c>
      <c r="U8" s="35"/>
      <c r="V8" s="35"/>
    </row>
    <row r="9" spans="1:24" ht="20.25" customHeight="1" x14ac:dyDescent="0.3">
      <c r="A9" s="11"/>
      <c r="B9" s="50" t="s">
        <v>18</v>
      </c>
      <c r="C9" s="50"/>
      <c r="D9" s="50"/>
      <c r="E9" s="15"/>
      <c r="F9" s="15"/>
      <c r="G9" s="15"/>
      <c r="H9" s="16"/>
      <c r="I9" s="15"/>
      <c r="J9" s="50" t="s">
        <v>19</v>
      </c>
      <c r="K9" s="50"/>
      <c r="L9" s="50"/>
      <c r="M9" s="50"/>
      <c r="N9" s="11"/>
      <c r="O9" s="6" t="b">
        <v>0</v>
      </c>
      <c r="P9" s="6" t="s">
        <v>36</v>
      </c>
      <c r="Q9" s="6" t="s">
        <v>43</v>
      </c>
      <c r="T9" s="34"/>
      <c r="U9" s="34"/>
      <c r="V9" s="34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37" t="s">
        <v>114</v>
      </c>
      <c r="U10" s="37"/>
      <c r="V10" s="37"/>
    </row>
    <row r="11" spans="1:24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35" t="s">
        <v>115</v>
      </c>
      <c r="U11" s="35"/>
      <c r="V11" s="35"/>
    </row>
    <row r="12" spans="1:24" ht="20.25" customHeight="1" x14ac:dyDescent="0.3">
      <c r="A12" s="11"/>
      <c r="B12" s="6">
        <f t="shared" ref="B12:B14" si="0">IF(D12="","",ROUNDDOWN((D12-10)/2,0))</f>
        <v>1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12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42" t="s">
        <v>82</v>
      </c>
      <c r="P12" s="43"/>
      <c r="Q12" s="44"/>
      <c r="T12" s="35" t="s">
        <v>116</v>
      </c>
      <c r="U12" s="35"/>
      <c r="V12" s="35"/>
    </row>
    <row r="13" spans="1:24" ht="20.25" customHeight="1" x14ac:dyDescent="0.3">
      <c r="A13" s="11"/>
      <c r="B13" s="6">
        <f t="shared" si="0"/>
        <v>0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10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9" t="s">
        <v>90</v>
      </c>
      <c r="P13" s="40"/>
      <c r="Q13" s="41"/>
      <c r="T13" s="35" t="s">
        <v>117</v>
      </c>
      <c r="U13" s="35"/>
      <c r="V13" s="35"/>
    </row>
    <row r="14" spans="1:24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9"/>
      <c r="P14" s="40"/>
      <c r="Q14" s="41"/>
      <c r="T14" s="35" t="s">
        <v>118</v>
      </c>
      <c r="U14" s="35"/>
      <c r="V14" s="35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9"/>
      <c r="P15" s="40"/>
      <c r="Q15" s="41"/>
      <c r="T15" s="35" t="s">
        <v>52</v>
      </c>
      <c r="U15" s="35"/>
      <c r="V15" s="35"/>
    </row>
    <row r="16" spans="1:24" ht="20.25" customHeight="1" x14ac:dyDescent="0.3">
      <c r="A16" s="11"/>
      <c r="B16" s="39" t="s">
        <v>26</v>
      </c>
      <c r="C16" s="40"/>
      <c r="D16" s="41"/>
      <c r="E16" s="12"/>
      <c r="F16" s="12"/>
      <c r="G16" s="12"/>
      <c r="H16" s="11"/>
      <c r="I16" s="12"/>
      <c r="J16" s="39" t="s">
        <v>49</v>
      </c>
      <c r="K16" s="41"/>
      <c r="L16" s="6">
        <v>-1</v>
      </c>
      <c r="M16" s="11"/>
      <c r="O16" s="39"/>
      <c r="P16" s="40"/>
      <c r="Q16" s="41"/>
      <c r="T16" s="34"/>
      <c r="U16" s="34"/>
      <c r="V16" s="34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9" t="s">
        <v>9</v>
      </c>
      <c r="K17" s="41"/>
      <c r="L17" s="6">
        <f>ABS(ROUNDDOWN(L16/5,0))</f>
        <v>0</v>
      </c>
      <c r="M17" s="11"/>
      <c r="O17" s="39"/>
      <c r="P17" s="40"/>
      <c r="Q17" s="41"/>
      <c r="T17" s="37" t="s">
        <v>2</v>
      </c>
      <c r="U17" s="37"/>
      <c r="V17" s="37"/>
    </row>
    <row r="18" spans="1:22" ht="20.25" customHeight="1" x14ac:dyDescent="0.3">
      <c r="A18" s="12"/>
      <c r="B18" s="6">
        <f>C18+D18</f>
        <v>14</v>
      </c>
      <c r="C18" s="6">
        <v>14</v>
      </c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9" t="s">
        <v>50</v>
      </c>
      <c r="K18" s="41"/>
      <c r="L18" s="6">
        <v>1</v>
      </c>
      <c r="M18" s="11"/>
      <c r="O18" s="39"/>
      <c r="P18" s="40"/>
      <c r="Q18" s="41"/>
      <c r="T18" s="35" t="s">
        <v>119</v>
      </c>
      <c r="U18" s="35"/>
      <c r="V18" s="35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5" t="s">
        <v>127</v>
      </c>
      <c r="O19" s="39"/>
      <c r="P19" s="40"/>
      <c r="Q19" s="41"/>
      <c r="T19" s="35" t="s">
        <v>120</v>
      </c>
      <c r="U19" s="35"/>
      <c r="V19" s="35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6"/>
      <c r="J20" s="4" t="s">
        <v>59</v>
      </c>
      <c r="K20" s="4" t="s">
        <v>60</v>
      </c>
      <c r="L20" s="4" t="s">
        <v>61</v>
      </c>
      <c r="M20" s="4" t="s">
        <v>62</v>
      </c>
      <c r="O20" s="42" t="s">
        <v>126</v>
      </c>
      <c r="P20" s="43"/>
      <c r="Q20" s="44"/>
      <c r="T20" s="35" t="s">
        <v>121</v>
      </c>
      <c r="U20" s="35"/>
      <c r="V20" s="35"/>
    </row>
    <row r="21" spans="1:22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9" t="s">
        <v>128</v>
      </c>
      <c r="P21" s="40"/>
      <c r="Q21" s="41"/>
      <c r="T21" s="35" t="s">
        <v>122</v>
      </c>
      <c r="U21" s="35"/>
      <c r="V21" s="35"/>
    </row>
    <row r="22" spans="1:22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35" t="s">
        <v>123</v>
      </c>
      <c r="U22" s="35"/>
      <c r="V22" s="35"/>
    </row>
    <row r="23" spans="1:22" ht="20.25" customHeight="1" x14ac:dyDescent="0.3">
      <c r="A23" s="3" t="s">
        <v>68</v>
      </c>
      <c r="B23" s="20">
        <f t="shared" si="2"/>
        <v>2</v>
      </c>
      <c r="C23" s="20">
        <f>Economy_Modifier</f>
        <v>1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42" t="s">
        <v>81</v>
      </c>
      <c r="P23" s="43"/>
      <c r="Q23" s="44"/>
      <c r="T23" s="35" t="s">
        <v>124</v>
      </c>
      <c r="U23" s="35"/>
      <c r="V23" s="35"/>
    </row>
    <row r="24" spans="1:22" ht="20.25" customHeight="1" x14ac:dyDescent="0.3">
      <c r="A24" s="3" t="s">
        <v>69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9"/>
      <c r="P24" s="40"/>
      <c r="Q24" s="41"/>
      <c r="T24" s="35" t="s">
        <v>125</v>
      </c>
      <c r="U24" s="35"/>
      <c r="V24" s="35"/>
    </row>
    <row r="25" spans="1:22" ht="20.25" customHeight="1" x14ac:dyDescent="0.3">
      <c r="A25" s="3" t="s">
        <v>70</v>
      </c>
      <c r="B25" s="20">
        <f t="shared" si="2"/>
        <v>4</v>
      </c>
      <c r="C25" s="20">
        <f>Stability_Modifier</f>
        <v>3</v>
      </c>
      <c r="D25" s="20">
        <f t="shared" si="1"/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9"/>
      <c r="P25" s="40"/>
      <c r="Q25" s="41"/>
      <c r="T25" s="36" t="s">
        <v>53</v>
      </c>
      <c r="U25" s="36"/>
      <c r="V25" s="36"/>
    </row>
    <row r="26" spans="1:22" ht="20.25" customHeight="1" x14ac:dyDescent="0.3">
      <c r="A26" s="3" t="s">
        <v>52</v>
      </c>
      <c r="B26" s="6">
        <f t="shared" si="2"/>
        <v>1</v>
      </c>
      <c r="C26" s="6">
        <f>Economy_Modifier</f>
        <v>1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9"/>
      <c r="P26" s="40"/>
      <c r="Q26" s="41"/>
      <c r="T26" s="33"/>
      <c r="U26" s="33"/>
      <c r="V26" s="33"/>
    </row>
    <row r="27" spans="1:22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9"/>
      <c r="P27" s="40"/>
      <c r="Q27" s="41"/>
      <c r="T27" s="34"/>
      <c r="U27" s="34"/>
      <c r="V27" s="34"/>
    </row>
    <row r="28" spans="1:22" ht="20.25" customHeight="1" x14ac:dyDescent="0.3">
      <c r="A28" s="3" t="s">
        <v>72</v>
      </c>
      <c r="B28" s="6">
        <f t="shared" si="2"/>
        <v>1</v>
      </c>
      <c r="C28" s="6">
        <f>Economy_Modifier</f>
        <v>1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9"/>
      <c r="P28" s="40"/>
      <c r="Q28" s="41"/>
      <c r="T28" s="34"/>
      <c r="U28" s="34"/>
      <c r="V28" s="34"/>
    </row>
    <row r="29" spans="1:22" ht="20.25" customHeight="1" x14ac:dyDescent="0.3">
      <c r="A29" s="3" t="s">
        <v>73</v>
      </c>
      <c r="B29" s="20">
        <f t="shared" si="2"/>
        <v>4</v>
      </c>
      <c r="C29" s="20">
        <f>Loyalty_Modifier</f>
        <v>0</v>
      </c>
      <c r="D29" s="20">
        <f t="shared" si="1"/>
        <v>3</v>
      </c>
      <c r="E29" s="21" t="b">
        <v>1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9"/>
      <c r="P29" s="40"/>
      <c r="Q29" s="41"/>
    </row>
    <row r="30" spans="1:22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9"/>
      <c r="P30" s="40"/>
      <c r="Q30" s="41"/>
    </row>
    <row r="31" spans="1:22" ht="20.25" customHeight="1" x14ac:dyDescent="0.3">
      <c r="A31" s="3" t="s">
        <v>75</v>
      </c>
      <c r="B31" s="20">
        <f t="shared" si="2"/>
        <v>1</v>
      </c>
      <c r="C31" s="20">
        <f>Loyalty_Modifier</f>
        <v>0</v>
      </c>
      <c r="D31" s="20">
        <f t="shared" si="1"/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9"/>
      <c r="P31" s="40"/>
      <c r="Q31" s="41"/>
    </row>
    <row r="32" spans="1:22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9"/>
      <c r="P32" s="40"/>
      <c r="Q32" s="41"/>
    </row>
    <row r="33" spans="1:22" ht="20.25" customHeight="1" x14ac:dyDescent="0.3">
      <c r="A33" s="3" t="s">
        <v>77</v>
      </c>
      <c r="B33" s="20">
        <f t="shared" si="2"/>
        <v>1</v>
      </c>
      <c r="C33" s="20">
        <f>Loyalty_Modifier</f>
        <v>0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9"/>
      <c r="P33" s="40"/>
      <c r="Q33" s="41"/>
    </row>
    <row r="34" spans="1:22" ht="20.25" customHeight="1" x14ac:dyDescent="0.3">
      <c r="A34" s="3" t="s">
        <v>78</v>
      </c>
      <c r="B34" s="6">
        <f t="shared" si="2"/>
        <v>1</v>
      </c>
      <c r="C34" s="6">
        <f>Economy_Modifier</f>
        <v>1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9"/>
      <c r="P34" s="40"/>
      <c r="Q34" s="41"/>
    </row>
    <row r="35" spans="1:22" ht="20.25" customHeight="1" x14ac:dyDescent="0.3">
      <c r="A35" s="3" t="s">
        <v>79</v>
      </c>
      <c r="B35" s="20">
        <f t="shared" si="2"/>
        <v>4</v>
      </c>
      <c r="C35" s="20">
        <f>Loyalty_Modifier</f>
        <v>0</v>
      </c>
      <c r="D35" s="20">
        <f t="shared" si="1"/>
        <v>3</v>
      </c>
      <c r="E35" s="21" t="b">
        <v>1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9"/>
      <c r="P35" s="40"/>
      <c r="Q35" s="41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9"/>
      <c r="P36" s="40"/>
      <c r="Q36" s="41"/>
    </row>
    <row r="37" spans="1:22" ht="20.25" customHeight="1" x14ac:dyDescent="0.3">
      <c r="E37" s="5"/>
      <c r="F37" s="5"/>
      <c r="G37" s="5"/>
      <c r="O37" s="39"/>
      <c r="P37" s="40"/>
      <c r="Q37" s="41"/>
    </row>
    <row r="38" spans="1:22" ht="20.25" customHeight="1" x14ac:dyDescent="0.3">
      <c r="B38" s="38" t="s">
        <v>83</v>
      </c>
      <c r="C38" s="38"/>
      <c r="J38" s="38" t="s">
        <v>91</v>
      </c>
      <c r="K38" s="38"/>
      <c r="M38" s="7" t="s">
        <v>78</v>
      </c>
      <c r="O38" s="39"/>
      <c r="P38" s="40"/>
      <c r="Q38" s="41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96</v>
      </c>
      <c r="M39" s="8" t="s">
        <v>97</v>
      </c>
      <c r="O39" s="39"/>
      <c r="P39" s="40"/>
      <c r="Q39" s="41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92</v>
      </c>
      <c r="K40" s="6"/>
      <c r="M40" s="18">
        <v>1</v>
      </c>
      <c r="O40" s="39"/>
      <c r="P40" s="40"/>
      <c r="Q40" s="41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93</v>
      </c>
      <c r="K41" s="6"/>
      <c r="O41" s="39"/>
      <c r="P41" s="40"/>
      <c r="Q41" s="41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94</v>
      </c>
      <c r="K42" s="6"/>
      <c r="M42" s="7" t="s">
        <v>98</v>
      </c>
      <c r="O42" s="39"/>
      <c r="P42" s="40"/>
      <c r="Q42" s="41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95</v>
      </c>
      <c r="K43" s="6"/>
      <c r="M43" s="8" t="s">
        <v>99</v>
      </c>
      <c r="O43" s="39"/>
      <c r="P43" s="40"/>
      <c r="Q43" s="41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39"/>
      <c r="P44" s="40"/>
      <c r="Q44" s="41"/>
    </row>
    <row r="45" spans="1:22" ht="20.25" customHeight="1" x14ac:dyDescent="0.3">
      <c r="T45" s="5"/>
      <c r="U45" s="5"/>
      <c r="V45" s="5"/>
    </row>
    <row r="46" spans="1:22" s="5" customFormat="1" ht="20.25" customHeight="1" x14ac:dyDescent="0.3">
      <c r="A46" s="38" t="s">
        <v>100</v>
      </c>
      <c r="B46" s="38"/>
      <c r="C46" s="38"/>
      <c r="E46" s="38" t="s">
        <v>101</v>
      </c>
      <c r="F46" s="38"/>
      <c r="G46" s="38"/>
      <c r="H46" s="38"/>
      <c r="I46" s="38"/>
      <c r="J46" s="38"/>
      <c r="K46" s="38"/>
      <c r="L46" s="38"/>
      <c r="N46" s="38" t="s">
        <v>102</v>
      </c>
      <c r="O46" s="38"/>
      <c r="P46" s="38"/>
      <c r="Q46" s="38"/>
      <c r="T46" s="1"/>
      <c r="U46" s="1"/>
      <c r="V46" s="1"/>
    </row>
    <row r="47" spans="1:22" ht="20.25" customHeight="1" x14ac:dyDescent="0.3">
      <c r="A47" s="47"/>
      <c r="B47" s="48"/>
      <c r="C47" s="49"/>
      <c r="E47" s="47" t="s">
        <v>129</v>
      </c>
      <c r="F47" s="48"/>
      <c r="G47" s="48"/>
      <c r="H47" s="48"/>
      <c r="I47" s="48"/>
      <c r="J47" s="48"/>
      <c r="K47" s="48"/>
      <c r="L47" s="49"/>
      <c r="N47" s="35"/>
      <c r="O47" s="35"/>
      <c r="P47" s="35"/>
      <c r="Q47" s="35"/>
    </row>
    <row r="48" spans="1:22" ht="20.25" customHeight="1" x14ac:dyDescent="0.3">
      <c r="A48" s="47"/>
      <c r="B48" s="48"/>
      <c r="C48" s="49"/>
      <c r="E48" s="47"/>
      <c r="F48" s="48"/>
      <c r="G48" s="48"/>
      <c r="H48" s="48"/>
      <c r="I48" s="48"/>
      <c r="J48" s="48"/>
      <c r="K48" s="48"/>
      <c r="L48" s="49"/>
      <c r="N48" s="35"/>
      <c r="O48" s="35"/>
      <c r="P48" s="35"/>
      <c r="Q48" s="35"/>
    </row>
    <row r="49" spans="1:17" ht="20.25" customHeight="1" x14ac:dyDescent="0.3">
      <c r="A49" s="47"/>
      <c r="B49" s="48"/>
      <c r="C49" s="49"/>
      <c r="E49" s="47"/>
      <c r="F49" s="48"/>
      <c r="G49" s="48"/>
      <c r="H49" s="48"/>
      <c r="I49" s="48"/>
      <c r="J49" s="48"/>
      <c r="K49" s="48"/>
      <c r="L49" s="49"/>
      <c r="N49" s="35"/>
      <c r="O49" s="35"/>
      <c r="P49" s="35"/>
      <c r="Q49" s="35"/>
    </row>
    <row r="50" spans="1:17" ht="20.25" customHeight="1" x14ac:dyDescent="0.3">
      <c r="A50" s="47"/>
      <c r="B50" s="48"/>
      <c r="C50" s="49"/>
      <c r="E50" s="47"/>
      <c r="F50" s="48"/>
      <c r="G50" s="48"/>
      <c r="H50" s="48"/>
      <c r="I50" s="48"/>
      <c r="J50" s="48"/>
      <c r="K50" s="48"/>
      <c r="L50" s="49"/>
      <c r="N50" s="35"/>
      <c r="O50" s="35"/>
      <c r="P50" s="35"/>
      <c r="Q50" s="35"/>
    </row>
  </sheetData>
  <mergeCells count="91">
    <mergeCell ref="E2:H2"/>
    <mergeCell ref="E4:H4"/>
    <mergeCell ref="O1:Q1"/>
    <mergeCell ref="O12:Q12"/>
    <mergeCell ref="O13:Q13"/>
    <mergeCell ref="B1:D1"/>
    <mergeCell ref="B2:D2"/>
    <mergeCell ref="B3:D3"/>
    <mergeCell ref="B5:D5"/>
    <mergeCell ref="B4:D4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O40:Q40"/>
    <mergeCell ref="O37:Q37"/>
    <mergeCell ref="O34:Q34"/>
    <mergeCell ref="O35:Q35"/>
    <mergeCell ref="O36:Q36"/>
    <mergeCell ref="O39:Q39"/>
    <mergeCell ref="O38:Q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1:Q41"/>
    <mergeCell ref="O42:Q42"/>
    <mergeCell ref="O43:Q43"/>
    <mergeCell ref="O44:Q44"/>
    <mergeCell ref="N49:Q49"/>
    <mergeCell ref="B38:C38"/>
    <mergeCell ref="B16:D16"/>
    <mergeCell ref="J18:K18"/>
    <mergeCell ref="J17:K17"/>
    <mergeCell ref="J16:K16"/>
    <mergeCell ref="I19:I2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T6:V6"/>
    <mergeCell ref="T7:V7"/>
    <mergeCell ref="T8:V8"/>
    <mergeCell ref="T9:V9"/>
    <mergeCell ref="T10:V10"/>
    <mergeCell ref="T11:V11"/>
    <mergeCell ref="T12:V12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27:V27"/>
    <mergeCell ref="T28:V28"/>
    <mergeCell ref="T21:V21"/>
    <mergeCell ref="T22:V22"/>
    <mergeCell ref="T23:V23"/>
    <mergeCell ref="T24:V24"/>
    <mergeCell ref="T25:V25"/>
  </mergeCells>
  <dataValidations count="4">
    <dataValidation type="list" allowBlank="1" showInputMessage="1" showErrorMessage="1" sqref="B2:D2" xr:uid="{00000000-0002-0000-0000-000000000000}">
      <formula1>"Pick One,Conquest,Exploration,Expansion,Grant,Open"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0000000-0002-0000-0000-000002000000}">
      <formula1>"Despotism,Feudalism,Oligarchy,Republic,Thaumocracy,Yeomanry"</formula1>
    </dataValidation>
    <dataValidation type="list" allowBlank="1" showInputMessage="1" showErrorMessage="1" sqref="E2:I2 E4:I4" xr:uid="{00000000-0002-0000-0000-000003000000}">
      <formula1>"Free boost,Culture,Economy,Loyalty,Stability"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6" t="s">
        <v>106</v>
      </c>
      <c r="E1" s="56"/>
      <c r="F1" s="56"/>
      <c r="G1" s="30"/>
      <c r="H1" s="31" t="s">
        <v>15</v>
      </c>
      <c r="I1" s="32">
        <v>1</v>
      </c>
      <c r="J1" s="30"/>
      <c r="K1" s="57" t="s">
        <v>107</v>
      </c>
      <c r="L1" s="57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105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4" t="s">
        <v>104</v>
      </c>
      <c r="I15" s="55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3" t="s">
        <v>103</v>
      </c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108</vt:i4>
      </vt:variant>
    </vt:vector>
  </HeadingPairs>
  <TitlesOfParts>
    <vt:vector size="110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Level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Size</vt:lpstr>
      <vt:lpstr>Stability</vt:lpstr>
      <vt:lpstr>Stability_Modifier</vt:lpstr>
      <vt:lpstr>Statecraft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2024-03-14T17:27:25Z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