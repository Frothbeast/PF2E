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apps\pf2e\"/>
    </mc:Choice>
  </mc:AlternateContent>
  <xr:revisionPtr revIDLastSave="0" documentId="13_ncr:1_{350ECFAF-7356-4C34-AAB2-4996A1949625}" xr6:coauthVersionLast="47" xr6:coauthVersionMax="47" xr10:uidLastSave="{00000000-0000-0000-0000-000000000000}"/>
  <bookViews>
    <workbookView xWindow="28680" yWindow="-120" windowWidth="29040" windowHeight="16440" xr2:uid="{00000000-000D-0000-FFFF-FFFF00000000}"/>
  </bookViews>
  <sheets>
    <sheet name="Kingdom" sheetId="1" r:id="rId1"/>
    <sheet name="Urban Grid" sheetId="2" r:id="rId2"/>
  </sheets>
  <definedNames>
    <definedName name="Agriculture">Kingdom!$A$21</definedName>
    <definedName name="Agriculture_expert">Kingdom!$F$21</definedName>
    <definedName name="Agriculture_legendary">Kingdom!$H$21</definedName>
    <definedName name="Agriculture_master">Kingdom!$G$21</definedName>
    <definedName name="Agriculture_Trained">Kingdom!$E$21</definedName>
    <definedName name="Arts">Kingdom!$A$22</definedName>
    <definedName name="Arts_expert">Kingdom!$F$22</definedName>
    <definedName name="Arts_legendary">Kingdom!$H$22</definedName>
    <definedName name="Arts_master">Kingdom!$G$22</definedName>
    <definedName name="Arts_trained">Kingdom!$E$22</definedName>
    <definedName name="Boating">Kingdom!$A$23</definedName>
    <definedName name="boating_expert">Kingdom!$F$23</definedName>
    <definedName name="boating_legendary">Kingdom!$H$23</definedName>
    <definedName name="boating_master">Kingdom!$G$23</definedName>
    <definedName name="boating_trained">Kingdom!$E$23</definedName>
    <definedName name="Charter">Kingdom!$B$2</definedName>
    <definedName name="Charter_boost">Kingdom!$E$2</definedName>
    <definedName name="Conquest">Kingdom!$T$11</definedName>
    <definedName name="Councelor_invested">Kingdom!$O$4</definedName>
    <definedName name="Culture">Kingdom!$C$11</definedName>
    <definedName name="Culture_Modifier">Kingdom!$B$11</definedName>
    <definedName name="Defense">Kingdom!$A$24</definedName>
    <definedName name="Defense_expert">Kingdom!$F$24</definedName>
    <definedName name="Defense_legendary">Kingdom!$H$24</definedName>
    <definedName name="Defense_master">Kingdom!$G$24</definedName>
    <definedName name="Defense_trained">Kingdom!$E$24</definedName>
    <definedName name="Depotism">Kingdom!$T$3</definedName>
    <definedName name="Despotism">Kingdom!$T$3</definedName>
    <definedName name="Economy">Kingdom!$C$12</definedName>
    <definedName name="Economy_Modifier">Kingdom!$B$12</definedName>
    <definedName name="Emissary_invested">Kingdom!$O$6</definedName>
    <definedName name="Engineering">Kingdom!$A$25</definedName>
    <definedName name="Engineering_expert">Kingdom!$F$25</definedName>
    <definedName name="Engineering_legendary">Kingdom!$H$25</definedName>
    <definedName name="Engineering_master">Kingdom!$G$25</definedName>
    <definedName name="Engineering_trained">Kingdom!$E$25</definedName>
    <definedName name="Expansion">Kingdom!$T$14</definedName>
    <definedName name="Exploration">Kingdom!$T$15</definedName>
    <definedName name="Exploration_expert">Kingdom!$F$26</definedName>
    <definedName name="Exploration_legendary">Kingdom!$H$26</definedName>
    <definedName name="Exploration_master">Kingdom!$G$26</definedName>
    <definedName name="Exploration_trained">Kingdom!$E$26</definedName>
    <definedName name="Exploration1">Kingdom!$A$26</definedName>
    <definedName name="Feudalism">Kingdom!$T$4</definedName>
    <definedName name="Folklore">Kingdom!$A$27</definedName>
    <definedName name="Folklore_expert">Kingdom!$F$27</definedName>
    <definedName name="Folklore_legendary">Kingdom!$H$27</definedName>
    <definedName name="Folklore_master">Kingdom!$G$27</definedName>
    <definedName name="Folklore_trained">Kingdom!$E$27</definedName>
    <definedName name="Forest">Kingdom!$T$18</definedName>
    <definedName name="General_invested">Kingdom!$O$5</definedName>
    <definedName name="Government">Kingdom!$B$4</definedName>
    <definedName name="Government_boost">Kingdom!$E$4</definedName>
    <definedName name="Government_feat">Kingdom!$O$21</definedName>
    <definedName name="Grant">Kingdom!$T$12</definedName>
    <definedName name="Heartland">Kingdom!$B$3</definedName>
    <definedName name="Hill">Kingdom!$T$20</definedName>
    <definedName name="Industry">Kingdom!$A$28</definedName>
    <definedName name="Industry_expert">Kingdom!$F$28</definedName>
    <definedName name="Industry_legendary">Kingdom!$H$28</definedName>
    <definedName name="Industry_master">Kingdom!$G$28</definedName>
    <definedName name="Industry_trained">Kingdom!$E$28</definedName>
    <definedName name="Intrigue">Kingdom!$A$29</definedName>
    <definedName name="Intrigue_expert">Kingdom!$F$29</definedName>
    <definedName name="Intrigue_legendary">Kingdom!$H$29</definedName>
    <definedName name="Intrigue_master">Kingdom!$G$29</definedName>
    <definedName name="Intrigue_trained">Kingdom!$E$29</definedName>
    <definedName name="Lake">Kingdom!$T$22</definedName>
    <definedName name="leve11Skill">Kingdom!$U$39</definedName>
    <definedName name="Level">Kingdom!$K$1</definedName>
    <definedName name="level10Skill">Kingdom!$U$38</definedName>
    <definedName name="level12Skill">Kingdom!$U$40</definedName>
    <definedName name="level13Skill">Kingdom!$U$41</definedName>
    <definedName name="level14Skill">Kingdom!$U$42</definedName>
    <definedName name="level15Skill">Kingdom!$U$43</definedName>
    <definedName name="level16Skill">Kingdom!$U$44</definedName>
    <definedName name="level17Skill">Kingdom!$U$45</definedName>
    <definedName name="level18Skill">Kingdom!$U$46</definedName>
    <definedName name="level19Skill">Kingdom!$U$47</definedName>
    <definedName name="level20Skill">Kingdom!$U$48</definedName>
    <definedName name="level2Skill">Kingdom!$U$30</definedName>
    <definedName name="level3Skill">Kingdom!$U$31</definedName>
    <definedName name="level4Skill">Kingdom!$U$32</definedName>
    <definedName name="level5Skill">Kingdom!$U$33</definedName>
    <definedName name="level6Skill">Kingdom!$U$34</definedName>
    <definedName name="level7Skill">Kingdom!$U$35</definedName>
    <definedName name="level8Skill">Kingdom!$U$36</definedName>
    <definedName name="level9Skill">Kingdom!$U$37</definedName>
    <definedName name="levelIncreaseSkills">Kingdom!$U$30:$V$48</definedName>
    <definedName name="Loyalty">Kingdom!$C$13</definedName>
    <definedName name="Loyalty_Modifier">Kingdom!$B$13</definedName>
    <definedName name="Magic">Kingdom!$A$30</definedName>
    <definedName name="Magic_expert">Kingdom!$F$30</definedName>
    <definedName name="Magic_legendary">Kingdom!$H$30</definedName>
    <definedName name="Magic_master">Kingdom!$G$30</definedName>
    <definedName name="Magic_trained">Kingdom!$E$30</definedName>
    <definedName name="Magister_invested">Kingdom!$O$7</definedName>
    <definedName name="Mountain">Kingdom!$T$24</definedName>
    <definedName name="Oligarchy">Kingdom!$T$5</definedName>
    <definedName name="Open">Kingdom!$T$13</definedName>
    <definedName name="Plain">Kingdom!$T$21</definedName>
    <definedName name="Politics">Kingdom!$A$31</definedName>
    <definedName name="politics_expert">Kingdom!$F$31</definedName>
    <definedName name="politics_legendary">Kingdom!$H$31</definedName>
    <definedName name="politics_master">Kingdom!$G$31</definedName>
    <definedName name="politics_trained">Kingdom!$E$31</definedName>
    <definedName name="Republic">Kingdom!$T$6</definedName>
    <definedName name="River">Kingdom!$T$23</definedName>
    <definedName name="Ruins">Kingdom!$T$25</definedName>
    <definedName name="Ruler_invested">Kingdom!$O$3</definedName>
    <definedName name="Scholarship">Kingdom!$A$32</definedName>
    <definedName name="Scholarship_expert">Kingdom!$F$32</definedName>
    <definedName name="Scholarship_legendary">Kingdom!$H$32</definedName>
    <definedName name="Scholarship_master">Kingdom!$G$32</definedName>
    <definedName name="Scholarship_trained">Kingdom!$E$32</definedName>
    <definedName name="Size">Kingdom!$J$5</definedName>
    <definedName name="Stability">Kingdom!$C$14</definedName>
    <definedName name="Stability_Modifier">Kingdom!$B$14</definedName>
    <definedName name="Statecraft">Kingdom!$A$33</definedName>
    <definedName name="Statecraft_expert">Kingdom!$F$33</definedName>
    <definedName name="Statecraft_legendary">Kingdom!$H$33</definedName>
    <definedName name="Statecraft_master">Kingdom!$G$33</definedName>
    <definedName name="Statecraft_trained">Kingdom!$E$33</definedName>
    <definedName name="Swamp">Kingdom!$T$19</definedName>
    <definedName name="Thaumocracy">Kingdom!$T$7</definedName>
    <definedName name="Trade">Kingdom!$A$34</definedName>
    <definedName name="Trade_expert">Kingdom!$F$34</definedName>
    <definedName name="Trade_Legendary">Kingdom!$H$34</definedName>
    <definedName name="Trade_master">Kingdom!$G$34</definedName>
    <definedName name="Trade_trained">Kingdom!$E$34</definedName>
    <definedName name="Treasurer_invested">Kingdom!$O$8</definedName>
    <definedName name="Viceroy_invested">Kingdom!$O$9</definedName>
    <definedName name="Warden_invested">Kingdom!$O$10</definedName>
    <definedName name="Warfare">Kingdom!$A$35</definedName>
    <definedName name="Warfare_expert">Kingdom!$F$35</definedName>
    <definedName name="Warfare_legendary">Kingdom!$H$35</definedName>
    <definedName name="Warfare_master">Kingdom!$G$35</definedName>
    <definedName name="Warfare_trained">Kingdom!$E$35</definedName>
    <definedName name="Wilderness">Kingdom!$A$36</definedName>
    <definedName name="Wilderness_expert">Kingdom!$F$36</definedName>
    <definedName name="Wilderness_legendary">Kingdom!$H$36</definedName>
    <definedName name="Wilderness_master">Kingdom!$G$36</definedName>
    <definedName name="Wilderness_trained">Kingdom!$E$36</definedName>
    <definedName name="Yeomanry">Kingdom!$T$8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8" i="1" l="1"/>
  <c r="B18" i="1" s="1"/>
  <c r="I34" i="1"/>
  <c r="I28" i="1"/>
  <c r="I26" i="1"/>
  <c r="I23" i="1"/>
  <c r="I36" i="1"/>
  <c r="I25" i="1"/>
  <c r="I24" i="1"/>
  <c r="I21" i="1"/>
  <c r="I32" i="1"/>
  <c r="I30" i="1"/>
  <c r="I27" i="1"/>
  <c r="I22" i="1"/>
  <c r="I35" i="1"/>
  <c r="I33" i="1"/>
  <c r="I31" i="1"/>
  <c r="I29" i="1"/>
  <c r="D35" i="1"/>
  <c r="D29" i="1"/>
  <c r="D14" i="1"/>
  <c r="B14" i="1" s="1"/>
  <c r="C36" i="1" s="1"/>
  <c r="D13" i="1"/>
  <c r="B13" i="1" s="1"/>
  <c r="C35" i="1" s="1"/>
  <c r="D12" i="1"/>
  <c r="B12" i="1" s="1"/>
  <c r="C23" i="1" s="1"/>
  <c r="D11" i="1"/>
  <c r="B11" i="1" s="1"/>
  <c r="C27" i="1" s="1"/>
  <c r="C44" i="1"/>
  <c r="C43" i="1"/>
  <c r="C42" i="1"/>
  <c r="C41" i="1"/>
  <c r="C40" i="1"/>
  <c r="L17" i="1"/>
  <c r="D36" i="1"/>
  <c r="D34" i="1"/>
  <c r="D33" i="1"/>
  <c r="D32" i="1"/>
  <c r="D31" i="1"/>
  <c r="D30" i="1"/>
  <c r="D28" i="1"/>
  <c r="D27" i="1"/>
  <c r="D26" i="1"/>
  <c r="D25" i="1"/>
  <c r="D24" i="1"/>
  <c r="D23" i="1"/>
  <c r="D22" i="1"/>
  <c r="D21" i="1"/>
  <c r="B23" i="1" l="1"/>
  <c r="B27" i="1"/>
  <c r="B35" i="1"/>
  <c r="B36" i="1"/>
  <c r="C28" i="1"/>
  <c r="B28" i="1" s="1"/>
  <c r="C29" i="1"/>
  <c r="B29" i="1" s="1"/>
  <c r="C32" i="1"/>
  <c r="B32" i="1" s="1"/>
  <c r="C26" i="1"/>
  <c r="B26" i="1" s="1"/>
  <c r="C30" i="1"/>
  <c r="B30" i="1" s="1"/>
  <c r="C31" i="1"/>
  <c r="B31" i="1" s="1"/>
  <c r="C21" i="1"/>
  <c r="B21" i="1" s="1"/>
  <c r="C33" i="1"/>
  <c r="B33" i="1" s="1"/>
  <c r="C24" i="1"/>
  <c r="B24" i="1" s="1"/>
  <c r="C34" i="1"/>
  <c r="B34" i="1" s="1"/>
  <c r="C25" i="1"/>
  <c r="B25" i="1" s="1"/>
  <c r="C22" i="1"/>
  <c r="B2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Jubenville, Dan</author>
  </authors>
  <commentList>
    <comment ref="C21" authorId="0" shapeId="0" xr:uid="{00000000-0006-0000-0000-000001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22" authorId="0" shapeId="0" xr:uid="{00000000-0006-0000-0000-000002000000}">
      <text>
        <r>
          <rPr>
            <sz val="9"/>
            <color indexed="81"/>
            <rFont val="Tahoma"/>
            <family val="2"/>
          </rPr>
          <t>Culture</t>
        </r>
      </text>
    </comment>
    <comment ref="C23" authorId="0" shapeId="0" xr:uid="{00000000-0006-0000-0000-000003000000}">
      <text>
        <r>
          <rPr>
            <sz val="9"/>
            <color indexed="81"/>
            <rFont val="Tahoma"/>
            <family val="2"/>
          </rPr>
          <t>Economy</t>
        </r>
      </text>
    </comment>
    <comment ref="C24" authorId="0" shapeId="0" xr:uid="{00000000-0006-0000-0000-000004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25" authorId="0" shapeId="0" xr:uid="{00000000-0006-0000-0000-000005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26" authorId="0" shapeId="0" xr:uid="{00000000-0006-0000-0000-000006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27" authorId="0" shapeId="0" xr:uid="{00000000-0006-0000-0000-000007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28" authorId="0" shapeId="0" xr:uid="{00000000-0006-0000-0000-000008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29" authorId="0" shapeId="0" xr:uid="{00000000-0006-0000-0000-000009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30" authorId="0" shapeId="0" xr:uid="{00000000-0006-0000-0000-00000A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31" authorId="0" shapeId="0" xr:uid="{00000000-0006-0000-0000-00000B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32" authorId="0" shapeId="0" xr:uid="{00000000-0006-0000-0000-00000C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33" authorId="0" shapeId="0" xr:uid="{00000000-0006-0000-0000-00000D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34" authorId="0" shapeId="0" xr:uid="{00000000-0006-0000-0000-00000E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35" authorId="0" shapeId="0" xr:uid="{00000000-0006-0000-0000-00000F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36" authorId="0" shapeId="0" xr:uid="{00000000-0006-0000-0000-000010000000}">
      <text>
        <r>
          <rPr>
            <sz val="9"/>
            <color indexed="81"/>
            <rFont val="Tahoma"/>
            <family val="2"/>
          </rPr>
          <t>Stability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<sst xmlns="http://schemas.openxmlformats.org/spreadsheetml/2006/main" count="156" uniqueCount="134">
  <si>
    <t>Kingdom Name</t>
  </si>
  <si>
    <t>Charter</t>
  </si>
  <si>
    <t>Heartland</t>
  </si>
  <si>
    <t>Government</t>
  </si>
  <si>
    <t>Capitol City</t>
  </si>
  <si>
    <t>Modifier</t>
  </si>
  <si>
    <t>Name</t>
  </si>
  <si>
    <t>Score</t>
  </si>
  <si>
    <t>Type</t>
  </si>
  <si>
    <t>Penalty</t>
  </si>
  <si>
    <t>Threshhold</t>
  </si>
  <si>
    <t>Size</t>
  </si>
  <si>
    <t>RP</t>
  </si>
  <si>
    <t>XP</t>
  </si>
  <si>
    <t>Max</t>
  </si>
  <si>
    <t>Level</t>
  </si>
  <si>
    <t>Fame</t>
  </si>
  <si>
    <t>Infamy</t>
  </si>
  <si>
    <t>Ability Scores</t>
  </si>
  <si>
    <t>Ruin</t>
  </si>
  <si>
    <t>Leaders</t>
  </si>
  <si>
    <t>Character</t>
  </si>
  <si>
    <t>Culture</t>
  </si>
  <si>
    <t>Economy</t>
  </si>
  <si>
    <t>Loyalty</t>
  </si>
  <si>
    <t>Stability</t>
  </si>
  <si>
    <t>Control DC</t>
  </si>
  <si>
    <t>Base</t>
  </si>
  <si>
    <t>Total</t>
  </si>
  <si>
    <t>Invested</t>
  </si>
  <si>
    <t>Ruler</t>
  </si>
  <si>
    <t>Councelor</t>
  </si>
  <si>
    <t>General</t>
  </si>
  <si>
    <t>Emissary</t>
  </si>
  <si>
    <t>Magister</t>
  </si>
  <si>
    <t>Treasurer</t>
  </si>
  <si>
    <t>Viceroy</t>
  </si>
  <si>
    <t>Warden</t>
  </si>
  <si>
    <t>Poppet</t>
  </si>
  <si>
    <t>Jhad</t>
  </si>
  <si>
    <t>Kodan</t>
  </si>
  <si>
    <t>Kesten</t>
  </si>
  <si>
    <t>Gronk</t>
  </si>
  <si>
    <t>Sela</t>
  </si>
  <si>
    <t>Gunder</t>
  </si>
  <si>
    <t>Corruption</t>
  </si>
  <si>
    <t>Crime</t>
  </si>
  <si>
    <t>Decay</t>
  </si>
  <si>
    <t>Strife</t>
  </si>
  <si>
    <t>Unrest</t>
  </si>
  <si>
    <t>Consumption</t>
  </si>
  <si>
    <t>The Far Reaches</t>
  </si>
  <si>
    <t>Exploration</t>
  </si>
  <si>
    <t>Ruins</t>
  </si>
  <si>
    <t>Republic</t>
  </si>
  <si>
    <t>Staghead</t>
  </si>
  <si>
    <t>Agriculture</t>
  </si>
  <si>
    <t>Ability</t>
  </si>
  <si>
    <t>Prof</t>
  </si>
  <si>
    <t>Status</t>
  </si>
  <si>
    <t>Circ.</t>
  </si>
  <si>
    <t>Item</t>
  </si>
  <si>
    <t>Other</t>
  </si>
  <si>
    <t>T</t>
  </si>
  <si>
    <t>E</t>
  </si>
  <si>
    <t>M</t>
  </si>
  <si>
    <t>L</t>
  </si>
  <si>
    <t>Arts</t>
  </si>
  <si>
    <t>Boating</t>
  </si>
  <si>
    <t>Defense</t>
  </si>
  <si>
    <t>Engineering</t>
  </si>
  <si>
    <t>Folklore</t>
  </si>
  <si>
    <t>Industry</t>
  </si>
  <si>
    <t>Intrigue</t>
  </si>
  <si>
    <t>Magic</t>
  </si>
  <si>
    <t>Politics</t>
  </si>
  <si>
    <t>Scholarship</t>
  </si>
  <si>
    <t>Statecraft</t>
  </si>
  <si>
    <t>Trade</t>
  </si>
  <si>
    <t>Warfare</t>
  </si>
  <si>
    <t>Wilderness</t>
  </si>
  <si>
    <t>Abilities</t>
  </si>
  <si>
    <t>Feats</t>
  </si>
  <si>
    <t>Comodities</t>
  </si>
  <si>
    <t>Value</t>
  </si>
  <si>
    <t>Food</t>
  </si>
  <si>
    <t>Lumber</t>
  </si>
  <si>
    <t>Luxuries</t>
  </si>
  <si>
    <t>Ore</t>
  </si>
  <si>
    <t>Stone</t>
  </si>
  <si>
    <t>Pull together</t>
  </si>
  <si>
    <t>Worksites</t>
  </si>
  <si>
    <t>Farmlands</t>
  </si>
  <si>
    <t xml:space="preserve">Lumber </t>
  </si>
  <si>
    <t>Mine</t>
  </si>
  <si>
    <t>Quarries</t>
  </si>
  <si>
    <t>#</t>
  </si>
  <si>
    <t>Agreements</t>
  </si>
  <si>
    <t>Event</t>
  </si>
  <si>
    <t>Check DC</t>
  </si>
  <si>
    <t>Settlements</t>
  </si>
  <si>
    <t>Relations</t>
  </si>
  <si>
    <t>Ongoing Events</t>
  </si>
  <si>
    <t>WATER</t>
  </si>
  <si>
    <t>Town Hall</t>
  </si>
  <si>
    <t>House</t>
  </si>
  <si>
    <t>Stag's Head</t>
  </si>
  <si>
    <t>Village</t>
  </si>
  <si>
    <t>Governments</t>
  </si>
  <si>
    <t>Feudalism</t>
  </si>
  <si>
    <t>Oligarchy</t>
  </si>
  <si>
    <t>Thaumocracy</t>
  </si>
  <si>
    <t>Yeomanry</t>
  </si>
  <si>
    <t>Despotism</t>
  </si>
  <si>
    <t>Charters</t>
  </si>
  <si>
    <t>Conquest</t>
  </si>
  <si>
    <t>Grant</t>
  </si>
  <si>
    <t>Open</t>
  </si>
  <si>
    <t>Expansion</t>
  </si>
  <si>
    <t>Forest</t>
  </si>
  <si>
    <t>Swamp</t>
  </si>
  <si>
    <t>Hill</t>
  </si>
  <si>
    <t>Plain</t>
  </si>
  <si>
    <t>Lake</t>
  </si>
  <si>
    <t>River</t>
  </si>
  <si>
    <t>Mountain</t>
  </si>
  <si>
    <t>Government feat</t>
  </si>
  <si>
    <t>Leader Bonus Status</t>
  </si>
  <si>
    <t>Bravoy</t>
  </si>
  <si>
    <t>Level increases</t>
  </si>
  <si>
    <t xml:space="preserve">Level  </t>
  </si>
  <si>
    <t>Skill</t>
  </si>
  <si>
    <t>Pull Together</t>
  </si>
  <si>
    <t>Defense_master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</si>
</sst>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sz val="20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tted">
        <color theme="0" tint="-0.14996795556505021"/>
      </right>
      <top/>
      <bottom style="dotted">
        <color theme="0" tint="-0.14996795556505021"/>
      </bottom>
      <diagonal/>
    </border>
    <border>
      <left style="dotted">
        <color theme="0" tint="-0.14996795556505021"/>
      </left>
      <right/>
      <top/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/>
      <diagonal/>
    </border>
    <border>
      <left style="dotted">
        <color theme="0" tint="-0.14996795556505021"/>
      </left>
      <right/>
      <top style="dotted">
        <color theme="0" tint="-0.14996795556505021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2" fillId="0" borderId="0" xfId="0" applyFont="1"/>
    <xf numFmtId="0" fontId="1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2" xfId="0" applyFont="1" applyBorder="1" applyAlignment="1">
      <alignment horizontal="right" vertical="center"/>
    </xf>
    <xf numFmtId="0" fontId="4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right" vertical="center"/>
    </xf>
    <xf numFmtId="0" fontId="1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1" xfId="0" applyFont="1" applyBorder="1" applyAlignment="1">
      <alignment horizontal="center" wrapText="1"/>
    </xf>
    <xf numFmtId="0" fontId="2" fillId="0" borderId="2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2" xfId="0" applyFont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66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E21" noThreeD="1"/>
</file>

<file path=xl/ctrlProps/ctrlProp2.xml><?xml version="1.0" encoding="utf-8"?>
<formControlPr xmlns="http://schemas.microsoft.com/office/spreadsheetml/2009/9/main" objectType="CheckBox" fmlaLink="G21" noThreeD="1"/>
</file>

<file path=xl/ctrlProps/ctrlProp3.xml><?xml version="1.0" encoding="utf-8"?>
<formControlPr xmlns="http://schemas.microsoft.com/office/spreadsheetml/2009/9/main" objectType="CheckBox" fmlaLink="H21" noThreeD="1"/>
</file>

<file path=xl/ctrlProps/ctrlProp4.xml><?xml version="1.0" encoding="utf-8"?>
<formControlPr xmlns="http://schemas.microsoft.com/office/spreadsheetml/2009/9/main" objectType="CheckBox" checked="Checked" fmlaLink="E22" noThreeD="1"/>
</file>

<file path=xl/ctrlProps/ctrlProp5.xml><?xml version="1.0" encoding="utf-8"?>
<formControlPr xmlns="http://schemas.microsoft.com/office/spreadsheetml/2009/9/main" objectType="CheckBox" fmlaLink="E28" noThreeD="1"/>
</file>

<file path=xl/ctrlProps/ctrlProp6.xml><?xml version="1.0" encoding="utf-8"?>
<formControlPr xmlns="http://schemas.microsoft.com/office/spreadsheetml/2009/9/main" objectType="CheckBox" fmlaLink="E29" noThreeD="1"/>
</file>

<file path=xl/ctrlProps/ctrlProp7.xml><?xml version="1.0" encoding="utf-8"?>
<formControlPr xmlns="http://schemas.microsoft.com/office/spreadsheetml/2009/9/main" objectType="CheckBox" fmlaLink="E30" noThreeD="1"/>
</file>

<file path=xl/ctrlProps/ctrlProp8.xml><?xml version="1.0" encoding="utf-8"?>
<formControlPr xmlns="http://schemas.microsoft.com/office/spreadsheetml/2009/9/main" objectType="CheckBox" checked="Checked" fmlaLink="E31" noThreeD="1"/>
</file>

<file path=xl/ctrlProps/ctrlProp9.xml><?xml version="1.0" encoding="utf-8"?>
<formControlPr xmlns="http://schemas.microsoft.com/office/spreadsheetml/2009/9/main" objectType="CheckBox" fmlaLink="E32" noThreeD="1"/>
</file>

<file path=xl/ctrlProps/ctrlProp10.xml><?xml version="1.0" encoding="utf-8"?>
<formControlPr xmlns="http://schemas.microsoft.com/office/spreadsheetml/2009/9/main" objectType="CheckBox" fmlaLink="E33" noThreeD="1"/>
</file>

<file path=xl/ctrlProps/ctrlProp11.xml><?xml version="1.0" encoding="utf-8"?>
<formControlPr xmlns="http://schemas.microsoft.com/office/spreadsheetml/2009/9/main" objectType="CheckBox" fmlaLink="E34" noThreeD="1"/>
</file>

<file path=xl/ctrlProps/ctrlProp12.xml><?xml version="1.0" encoding="utf-8"?>
<formControlPr xmlns="http://schemas.microsoft.com/office/spreadsheetml/2009/9/main" objectType="CheckBox" fmlaLink="E35" noThreeD="1"/>
</file>

<file path=xl/ctrlProps/ctrlProp13.xml><?xml version="1.0" encoding="utf-8"?>
<formControlPr xmlns="http://schemas.microsoft.com/office/spreadsheetml/2009/9/main" objectType="CheckBox" fmlaLink="E36" noThreeD="1"/>
</file>

<file path=xl/ctrlProps/ctrlProp14.xml><?xml version="1.0" encoding="utf-8"?>
<formControlPr xmlns="http://schemas.microsoft.com/office/spreadsheetml/2009/9/main" objectType="CheckBox" fmlaLink="G29" noThreeD="1"/>
</file>

<file path=xl/ctrlProps/ctrlProp15.xml><?xml version="1.0" encoding="utf-8"?>
<formControlPr xmlns="http://schemas.microsoft.com/office/spreadsheetml/2009/9/main" objectType="CheckBox" fmlaLink="G30" noThreeD="1"/>
</file>

<file path=xl/ctrlProps/ctrlProp16.xml><?xml version="1.0" encoding="utf-8"?>
<formControlPr xmlns="http://schemas.microsoft.com/office/spreadsheetml/2009/9/main" objectType="CheckBox" fmlaLink="G31" noThreeD="1"/>
</file>

<file path=xl/ctrlProps/ctrlProp17.xml><?xml version="1.0" encoding="utf-8"?>
<formControlPr xmlns="http://schemas.microsoft.com/office/spreadsheetml/2009/9/main" objectType="CheckBox" fmlaLink="G32" noThreeD="1"/>
</file>

<file path=xl/ctrlProps/ctrlProp18.xml><?xml version="1.0" encoding="utf-8"?>
<formControlPr xmlns="http://schemas.microsoft.com/office/spreadsheetml/2009/9/main" objectType="CheckBox" fmlaLink="G33" noThreeD="1"/>
</file>

<file path=xl/ctrlProps/ctrlProp19.xml><?xml version="1.0" encoding="utf-8"?>
<formControlPr xmlns="http://schemas.microsoft.com/office/spreadsheetml/2009/9/main" objectType="CheckBox" fmlaLink="G34" noThreeD="1"/>
</file>

<file path=xl/ctrlProps/ctrlProp20.xml><?xml version="1.0" encoding="utf-8"?>
<formControlPr xmlns="http://schemas.microsoft.com/office/spreadsheetml/2009/9/main" objectType="CheckBox" fmlaLink="G35" noThreeD="1"/>
</file>

<file path=xl/ctrlProps/ctrlProp21.xml><?xml version="1.0" encoding="utf-8"?>
<formControlPr xmlns="http://schemas.microsoft.com/office/spreadsheetml/2009/9/main" objectType="CheckBox" fmlaLink="G36" noThreeD="1"/>
</file>

<file path=xl/ctrlProps/ctrlProp22.xml><?xml version="1.0" encoding="utf-8"?>
<formControlPr xmlns="http://schemas.microsoft.com/office/spreadsheetml/2009/9/main" objectType="CheckBox" fmlaLink="H28" noThreeD="1"/>
</file>

<file path=xl/ctrlProps/ctrlProp23.xml><?xml version="1.0" encoding="utf-8"?>
<formControlPr xmlns="http://schemas.microsoft.com/office/spreadsheetml/2009/9/main" objectType="CheckBox" fmlaLink="H29" noThreeD="1"/>
</file>

<file path=xl/ctrlProps/ctrlProp24.xml><?xml version="1.0" encoding="utf-8"?>
<formControlPr xmlns="http://schemas.microsoft.com/office/spreadsheetml/2009/9/main" objectType="CheckBox" fmlaLink="H30" noThreeD="1"/>
</file>

<file path=xl/ctrlProps/ctrlProp25.xml><?xml version="1.0" encoding="utf-8"?>
<formControlPr xmlns="http://schemas.microsoft.com/office/spreadsheetml/2009/9/main" objectType="CheckBox" fmlaLink="H31" noThreeD="1"/>
</file>

<file path=xl/ctrlProps/ctrlProp26.xml><?xml version="1.0" encoding="utf-8"?>
<formControlPr xmlns="http://schemas.microsoft.com/office/spreadsheetml/2009/9/main" objectType="CheckBox" fmlaLink="H32" noThreeD="1"/>
</file>

<file path=xl/ctrlProps/ctrlProp27.xml><?xml version="1.0" encoding="utf-8"?>
<formControlPr xmlns="http://schemas.microsoft.com/office/spreadsheetml/2009/9/main" objectType="CheckBox" fmlaLink="H33" noThreeD="1"/>
</file>

<file path=xl/ctrlProps/ctrlProp28.xml><?xml version="1.0" encoding="utf-8"?>
<formControlPr xmlns="http://schemas.microsoft.com/office/spreadsheetml/2009/9/main" objectType="CheckBox" fmlaLink="H34" noThreeD="1"/>
</file>

<file path=xl/ctrlProps/ctrlProp29.xml><?xml version="1.0" encoding="utf-8"?>
<formControlPr xmlns="http://schemas.microsoft.com/office/spreadsheetml/2009/9/main" objectType="CheckBox" fmlaLink="H35" noThreeD="1"/>
</file>

<file path=xl/ctrlProps/ctrlProp30.xml><?xml version="1.0" encoding="utf-8"?>
<formControlPr xmlns="http://schemas.microsoft.com/office/spreadsheetml/2009/9/main" objectType="CheckBox" fmlaLink="H36" noThreeD="1"/>
</file>

<file path=xl/ctrlProps/ctrlProp31.xml><?xml version="1.0" encoding="utf-8"?>
<formControlPr xmlns="http://schemas.microsoft.com/office/spreadsheetml/2009/9/main" objectType="CheckBox" fmlaLink="E23" noThreeD="1"/>
</file>

<file path=xl/ctrlProps/ctrlProp32.xml><?xml version="1.0" encoding="utf-8"?>
<formControlPr xmlns="http://schemas.microsoft.com/office/spreadsheetml/2009/9/main" objectType="CheckBox" checked="Checked" fmlaLink="E24" noThreeD="1"/>
</file>

<file path=xl/ctrlProps/ctrlProp33.xml><?xml version="1.0" encoding="utf-8"?>
<formControlPr xmlns="http://schemas.microsoft.com/office/spreadsheetml/2009/9/main" objectType="CheckBox" checked="Checked" fmlaLink="E25" noThreeD="1"/>
</file>

<file path=xl/ctrlProps/ctrlProp34.xml><?xml version="1.0" encoding="utf-8"?>
<formControlPr xmlns="http://schemas.microsoft.com/office/spreadsheetml/2009/9/main" objectType="CheckBox" fmlaLink="E26" noThreeD="1"/>
</file>

<file path=xl/ctrlProps/ctrlProp35.xml><?xml version="1.0" encoding="utf-8"?>
<formControlPr xmlns="http://schemas.microsoft.com/office/spreadsheetml/2009/9/main" objectType="CheckBox" fmlaLink="E27" noThreeD="1"/>
</file>

<file path=xl/ctrlProps/ctrlProp36.xml><?xml version="1.0" encoding="utf-8"?>
<formControlPr xmlns="http://schemas.microsoft.com/office/spreadsheetml/2009/9/main" objectType="CheckBox" fmlaLink="G22" noThreeD="1"/>
</file>

<file path=xl/ctrlProps/ctrlProp37.xml><?xml version="1.0" encoding="utf-8"?>
<formControlPr xmlns="http://schemas.microsoft.com/office/spreadsheetml/2009/9/main" objectType="CheckBox" fmlaLink="G23" noThreeD="1"/>
</file>

<file path=xl/ctrlProps/ctrlProp38.xml><?xml version="1.0" encoding="utf-8"?>
<formControlPr xmlns="http://schemas.microsoft.com/office/spreadsheetml/2009/9/main" objectType="CheckBox" fmlaLink="G24" noThreeD="1"/>
</file>

<file path=xl/ctrlProps/ctrlProp39.xml><?xml version="1.0" encoding="utf-8"?>
<formControlPr xmlns="http://schemas.microsoft.com/office/spreadsheetml/2009/9/main" objectType="CheckBox" fmlaLink="G25" noThreeD="1"/>
</file>

<file path=xl/ctrlProps/ctrlProp40.xml><?xml version="1.0" encoding="utf-8"?>
<formControlPr xmlns="http://schemas.microsoft.com/office/spreadsheetml/2009/9/main" objectType="CheckBox" fmlaLink="G26" noThreeD="1"/>
</file>

<file path=xl/ctrlProps/ctrlProp41.xml><?xml version="1.0" encoding="utf-8"?>
<formControlPr xmlns="http://schemas.microsoft.com/office/spreadsheetml/2009/9/main" objectType="CheckBox" fmlaLink="G27" noThreeD="1"/>
</file>

<file path=xl/ctrlProps/ctrlProp42.xml><?xml version="1.0" encoding="utf-8"?>
<formControlPr xmlns="http://schemas.microsoft.com/office/spreadsheetml/2009/9/main" objectType="CheckBox" fmlaLink="G28" noThreeD="1"/>
</file>

<file path=xl/ctrlProps/ctrlProp43.xml><?xml version="1.0" encoding="utf-8"?>
<formControlPr xmlns="http://schemas.microsoft.com/office/spreadsheetml/2009/9/main" objectType="CheckBox" fmlaLink="H22" noThreeD="1"/>
</file>

<file path=xl/ctrlProps/ctrlProp44.xml><?xml version="1.0" encoding="utf-8"?>
<formControlPr xmlns="http://schemas.microsoft.com/office/spreadsheetml/2009/9/main" objectType="CheckBox" fmlaLink="H23" noThreeD="1"/>
</file>

<file path=xl/ctrlProps/ctrlProp45.xml><?xml version="1.0" encoding="utf-8"?>
<formControlPr xmlns="http://schemas.microsoft.com/office/spreadsheetml/2009/9/main" objectType="CheckBox" fmlaLink="H24" noThreeD="1"/>
</file>

<file path=xl/ctrlProps/ctrlProp46.xml><?xml version="1.0" encoding="utf-8"?>
<formControlPr xmlns="http://schemas.microsoft.com/office/spreadsheetml/2009/9/main" objectType="CheckBox" fmlaLink="H25" noThreeD="1"/>
</file>

<file path=xl/ctrlProps/ctrlProp47.xml><?xml version="1.0" encoding="utf-8"?>
<formControlPr xmlns="http://schemas.microsoft.com/office/spreadsheetml/2009/9/main" objectType="CheckBox" fmlaLink="H26" noThreeD="1"/>
</file>

<file path=xl/ctrlProps/ctrlProp48.xml><?xml version="1.0" encoding="utf-8"?>
<formControlPr xmlns="http://schemas.microsoft.com/office/spreadsheetml/2009/9/main" objectType="CheckBox" fmlaLink="H27" noThreeD="1"/>
</file>

<file path=xl/ctrlProps/ctrlProp49.xml><?xml version="1.0" encoding="utf-8"?>
<formControlPr xmlns="http://schemas.microsoft.com/office/spreadsheetml/2009/9/main" objectType="CheckBox" fmlaLink="F21" noThreeD="1"/>
</file>

<file path=xl/ctrlProps/ctrlProp50.xml><?xml version="1.0" encoding="utf-8"?>
<formControlPr xmlns="http://schemas.microsoft.com/office/spreadsheetml/2009/9/main" objectType="CheckBox" fmlaLink="F22" noThreeD="1"/>
</file>

<file path=xl/ctrlProps/ctrlProp51.xml><?xml version="1.0" encoding="utf-8"?>
<formControlPr xmlns="http://schemas.microsoft.com/office/spreadsheetml/2009/9/main" objectType="CheckBox" fmlaLink="F23" noThreeD="1"/>
</file>

<file path=xl/ctrlProps/ctrlProp52.xml><?xml version="1.0" encoding="utf-8"?>
<formControlPr xmlns="http://schemas.microsoft.com/office/spreadsheetml/2009/9/main" objectType="CheckBox" fmlaLink="F24" noThreeD="1"/>
</file>

<file path=xl/ctrlProps/ctrlProp53.xml><?xml version="1.0" encoding="utf-8"?>
<formControlPr xmlns="http://schemas.microsoft.com/office/spreadsheetml/2009/9/main" objectType="CheckBox" fmlaLink="F25" noThreeD="1"/>
</file>

<file path=xl/ctrlProps/ctrlProp54.xml><?xml version="1.0" encoding="utf-8"?>
<formControlPr xmlns="http://schemas.microsoft.com/office/spreadsheetml/2009/9/main" objectType="CheckBox" fmlaLink="F26" noThreeD="1"/>
</file>

<file path=xl/ctrlProps/ctrlProp55.xml><?xml version="1.0" encoding="utf-8"?>
<formControlPr xmlns="http://schemas.microsoft.com/office/spreadsheetml/2009/9/main" objectType="CheckBox" fmlaLink="F27" noThreeD="1"/>
</file>

<file path=xl/ctrlProps/ctrlProp56.xml><?xml version="1.0" encoding="utf-8"?>
<formControlPr xmlns="http://schemas.microsoft.com/office/spreadsheetml/2009/9/main" objectType="CheckBox" fmlaLink="F28" noThreeD="1"/>
</file>

<file path=xl/ctrlProps/ctrlProp57.xml><?xml version="1.0" encoding="utf-8"?>
<formControlPr xmlns="http://schemas.microsoft.com/office/spreadsheetml/2009/9/main" objectType="CheckBox" fmlaLink="F29" noThreeD="1"/>
</file>

<file path=xl/ctrlProps/ctrlProp58.xml><?xml version="1.0" encoding="utf-8"?>
<formControlPr xmlns="http://schemas.microsoft.com/office/spreadsheetml/2009/9/main" objectType="CheckBox" fmlaLink="F30" noThreeD="1"/>
</file>

<file path=xl/ctrlProps/ctrlProp59.xml><?xml version="1.0" encoding="utf-8"?>
<formControlPr xmlns="http://schemas.microsoft.com/office/spreadsheetml/2009/9/main" objectType="CheckBox" fmlaLink="F31" noThreeD="1"/>
</file>

<file path=xl/ctrlProps/ctrlProp60.xml><?xml version="1.0" encoding="utf-8"?>
<formControlPr xmlns="http://schemas.microsoft.com/office/spreadsheetml/2009/9/main" objectType="CheckBox" fmlaLink="F32" noThreeD="1"/>
</file>

<file path=xl/ctrlProps/ctrlProp61.xml><?xml version="1.0" encoding="utf-8"?>
<formControlPr xmlns="http://schemas.microsoft.com/office/spreadsheetml/2009/9/main" objectType="CheckBox" fmlaLink="F33" noThreeD="1"/>
</file>

<file path=xl/ctrlProps/ctrlProp62.xml><?xml version="1.0" encoding="utf-8"?>
<formControlPr xmlns="http://schemas.microsoft.com/office/spreadsheetml/2009/9/main" objectType="CheckBox" fmlaLink="F34" noThreeD="1"/>
</file>

<file path=xl/ctrlProps/ctrlProp63.xml><?xml version="1.0" encoding="utf-8"?>
<formControlPr xmlns="http://schemas.microsoft.com/office/spreadsheetml/2009/9/main" objectType="CheckBox" fmlaLink="F35" noThreeD="1"/>
</file>

<file path=xl/ctrlProps/ctrlProp64.xml><?xml version="1.0" encoding="utf-8"?>
<formControlPr xmlns="http://schemas.microsoft.com/office/spreadsheetml/2009/9/main" objectType="CheckBox" fmlaLink="F36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20</xdr:row>
          <xdr:rowOff>19050</xdr:rowOff>
        </xdr:from>
        <xdr:to>
          <xdr:col>4</xdr:col>
          <xdr:colOff>200025</xdr:colOff>
          <xdr:row>20</xdr:row>
          <xdr:rowOff>238125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20</xdr:row>
          <xdr:rowOff>19050</xdr:rowOff>
        </xdr:from>
        <xdr:to>
          <xdr:col>6</xdr:col>
          <xdr:colOff>200025</xdr:colOff>
          <xdr:row>20</xdr:row>
          <xdr:rowOff>238125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243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D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244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D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245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D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246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D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247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D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248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E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249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E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250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E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251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E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252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E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253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E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254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E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255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E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256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E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257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E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258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E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259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E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260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E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261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E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262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E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263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E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264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F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265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F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266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F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267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F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268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F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269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F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270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F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271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F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272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F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273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F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274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F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275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F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276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F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277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F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278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F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279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F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280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281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0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282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283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0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284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285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0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286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287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0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288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289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0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290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291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0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292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293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0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294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295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0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296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297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1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298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299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1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300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301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1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302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303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1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304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19050</xdr:rowOff>
        </xdr:from>
        <xdr:to>
          <xdr:col>7</xdr:col>
          <xdr:colOff>200025</xdr:colOff>
          <xdr:row>20</xdr:row>
          <xdr:rowOff>238125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21</xdr:row>
          <xdr:rowOff>19050</xdr:rowOff>
        </xdr:from>
        <xdr:to>
          <xdr:col>4</xdr:col>
          <xdr:colOff>200025</xdr:colOff>
          <xdr:row>21</xdr:row>
          <xdr:rowOff>238125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27</xdr:row>
          <xdr:rowOff>19050</xdr:rowOff>
        </xdr:from>
        <xdr:to>
          <xdr:col>4</xdr:col>
          <xdr:colOff>200025</xdr:colOff>
          <xdr:row>27</xdr:row>
          <xdr:rowOff>238125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28</xdr:row>
          <xdr:rowOff>19050</xdr:rowOff>
        </xdr:from>
        <xdr:to>
          <xdr:col>4</xdr:col>
          <xdr:colOff>200025</xdr:colOff>
          <xdr:row>28</xdr:row>
          <xdr:rowOff>238125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29</xdr:row>
          <xdr:rowOff>19050</xdr:rowOff>
        </xdr:from>
        <xdr:to>
          <xdr:col>4</xdr:col>
          <xdr:colOff>200025</xdr:colOff>
          <xdr:row>29</xdr:row>
          <xdr:rowOff>238125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30</xdr:row>
          <xdr:rowOff>19050</xdr:rowOff>
        </xdr:from>
        <xdr:to>
          <xdr:col>4</xdr:col>
          <xdr:colOff>200025</xdr:colOff>
          <xdr:row>30</xdr:row>
          <xdr:rowOff>238125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31</xdr:row>
          <xdr:rowOff>19050</xdr:rowOff>
        </xdr:from>
        <xdr:to>
          <xdr:col>4</xdr:col>
          <xdr:colOff>200025</xdr:colOff>
          <xdr:row>31</xdr:row>
          <xdr:rowOff>238125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32</xdr:row>
          <xdr:rowOff>19050</xdr:rowOff>
        </xdr:from>
        <xdr:to>
          <xdr:col>4</xdr:col>
          <xdr:colOff>200025</xdr:colOff>
          <xdr:row>32</xdr:row>
          <xdr:rowOff>238125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33</xdr:row>
          <xdr:rowOff>19050</xdr:rowOff>
        </xdr:from>
        <xdr:to>
          <xdr:col>4</xdr:col>
          <xdr:colOff>200025</xdr:colOff>
          <xdr:row>33</xdr:row>
          <xdr:rowOff>238125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34</xdr:row>
          <xdr:rowOff>19050</xdr:rowOff>
        </xdr:from>
        <xdr:to>
          <xdr:col>4</xdr:col>
          <xdr:colOff>200025</xdr:colOff>
          <xdr:row>34</xdr:row>
          <xdr:rowOff>238125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35</xdr:row>
          <xdr:rowOff>19050</xdr:rowOff>
        </xdr:from>
        <xdr:to>
          <xdr:col>4</xdr:col>
          <xdr:colOff>200025</xdr:colOff>
          <xdr:row>35</xdr:row>
          <xdr:rowOff>238125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28</xdr:row>
          <xdr:rowOff>19050</xdr:rowOff>
        </xdr:from>
        <xdr:to>
          <xdr:col>6</xdr:col>
          <xdr:colOff>200025</xdr:colOff>
          <xdr:row>28</xdr:row>
          <xdr:rowOff>238125</xdr:rowOff>
        </xdr:to>
        <xdr:sp macro="" textlink="">
          <xdr:nvSpPr>
            <xdr:cNvPr id="1126" name="Check Box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29</xdr:row>
          <xdr:rowOff>19050</xdr:rowOff>
        </xdr:from>
        <xdr:to>
          <xdr:col>6</xdr:col>
          <xdr:colOff>200025</xdr:colOff>
          <xdr:row>29</xdr:row>
          <xdr:rowOff>238125</xdr:rowOff>
        </xdr:to>
        <xdr:sp macro="" textlink="">
          <xdr:nvSpPr>
            <xdr:cNvPr id="1127" name="Check Box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30</xdr:row>
          <xdr:rowOff>19050</xdr:rowOff>
        </xdr:from>
        <xdr:to>
          <xdr:col>6</xdr:col>
          <xdr:colOff>200025</xdr:colOff>
          <xdr:row>30</xdr:row>
          <xdr:rowOff>238125</xdr:rowOff>
        </xdr:to>
        <xdr:sp macro="" textlink="">
          <xdr:nvSpPr>
            <xdr:cNvPr id="1128" name="Check Box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31</xdr:row>
          <xdr:rowOff>19050</xdr:rowOff>
        </xdr:from>
        <xdr:to>
          <xdr:col>6</xdr:col>
          <xdr:colOff>200025</xdr:colOff>
          <xdr:row>31</xdr:row>
          <xdr:rowOff>238125</xdr:rowOff>
        </xdr:to>
        <xdr:sp macro="" textlink="">
          <xdr:nvSpPr>
            <xdr:cNvPr id="1129" name="Check Box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32</xdr:row>
          <xdr:rowOff>19050</xdr:rowOff>
        </xdr:from>
        <xdr:to>
          <xdr:col>6</xdr:col>
          <xdr:colOff>200025</xdr:colOff>
          <xdr:row>32</xdr:row>
          <xdr:rowOff>238125</xdr:rowOff>
        </xdr:to>
        <xdr:sp macro="" textlink="">
          <xdr:nvSpPr>
            <xdr:cNvPr id="1130" name="Check Box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33</xdr:row>
          <xdr:rowOff>19050</xdr:rowOff>
        </xdr:from>
        <xdr:to>
          <xdr:col>6</xdr:col>
          <xdr:colOff>200025</xdr:colOff>
          <xdr:row>33</xdr:row>
          <xdr:rowOff>238125</xdr:rowOff>
        </xdr:to>
        <xdr:sp macro="" textlink="">
          <xdr:nvSpPr>
            <xdr:cNvPr id="1131" name="Check Box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34</xdr:row>
          <xdr:rowOff>19050</xdr:rowOff>
        </xdr:from>
        <xdr:to>
          <xdr:col>6</xdr:col>
          <xdr:colOff>200025</xdr:colOff>
          <xdr:row>34</xdr:row>
          <xdr:rowOff>238125</xdr:rowOff>
        </xdr:to>
        <xdr:sp macro="" textlink="">
          <xdr:nvSpPr>
            <xdr:cNvPr id="1132" name="Check Box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35</xdr:row>
          <xdr:rowOff>19050</xdr:rowOff>
        </xdr:from>
        <xdr:to>
          <xdr:col>6</xdr:col>
          <xdr:colOff>200025</xdr:colOff>
          <xdr:row>35</xdr:row>
          <xdr:rowOff>238125</xdr:rowOff>
        </xdr:to>
        <xdr:sp macro="" textlink="">
          <xdr:nvSpPr>
            <xdr:cNvPr id="1133" name="Check Box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19050</xdr:rowOff>
        </xdr:from>
        <xdr:to>
          <xdr:col>7</xdr:col>
          <xdr:colOff>200025</xdr:colOff>
          <xdr:row>27</xdr:row>
          <xdr:rowOff>238125</xdr:rowOff>
        </xdr:to>
        <xdr:sp macro="" textlink="">
          <xdr:nvSpPr>
            <xdr:cNvPr id="1139" name="Check Box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19050</xdr:rowOff>
        </xdr:from>
        <xdr:to>
          <xdr:col>7</xdr:col>
          <xdr:colOff>200025</xdr:colOff>
          <xdr:row>28</xdr:row>
          <xdr:rowOff>238125</xdr:rowOff>
        </xdr:to>
        <xdr:sp macro="" textlink="">
          <xdr:nvSpPr>
            <xdr:cNvPr id="1140" name="Check Box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29</xdr:row>
          <xdr:rowOff>19050</xdr:rowOff>
        </xdr:from>
        <xdr:to>
          <xdr:col>7</xdr:col>
          <xdr:colOff>200025</xdr:colOff>
          <xdr:row>29</xdr:row>
          <xdr:rowOff>238125</xdr:rowOff>
        </xdr:to>
        <xdr:sp macro="" textlink="">
          <xdr:nvSpPr>
            <xdr:cNvPr id="1141" name="Check Box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30</xdr:row>
          <xdr:rowOff>19050</xdr:rowOff>
        </xdr:from>
        <xdr:to>
          <xdr:col>7</xdr:col>
          <xdr:colOff>200025</xdr:colOff>
          <xdr:row>30</xdr:row>
          <xdr:rowOff>238125</xdr:rowOff>
        </xdr:to>
        <xdr:sp macro="" textlink="">
          <xdr:nvSpPr>
            <xdr:cNvPr id="1142" name="Check Box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31</xdr:row>
          <xdr:rowOff>19050</xdr:rowOff>
        </xdr:from>
        <xdr:to>
          <xdr:col>7</xdr:col>
          <xdr:colOff>200025</xdr:colOff>
          <xdr:row>31</xdr:row>
          <xdr:rowOff>238125</xdr:rowOff>
        </xdr:to>
        <xdr:sp macro="" textlink="">
          <xdr:nvSpPr>
            <xdr:cNvPr id="1143" name="Check Box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32</xdr:row>
          <xdr:rowOff>19050</xdr:rowOff>
        </xdr:from>
        <xdr:to>
          <xdr:col>7</xdr:col>
          <xdr:colOff>200025</xdr:colOff>
          <xdr:row>32</xdr:row>
          <xdr:rowOff>238125</xdr:rowOff>
        </xdr:to>
        <xdr:sp macro="" textlink="">
          <xdr:nvSpPr>
            <xdr:cNvPr id="1144" name="Check Box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33</xdr:row>
          <xdr:rowOff>9525</xdr:rowOff>
        </xdr:from>
        <xdr:to>
          <xdr:col>7</xdr:col>
          <xdr:colOff>190500</xdr:colOff>
          <xdr:row>33</xdr:row>
          <xdr:rowOff>228600</xdr:rowOff>
        </xdr:to>
        <xdr:sp macro="" textlink="">
          <xdr:nvSpPr>
            <xdr:cNvPr id="1145" name="Check Box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34</xdr:row>
          <xdr:rowOff>19050</xdr:rowOff>
        </xdr:from>
        <xdr:to>
          <xdr:col>7</xdr:col>
          <xdr:colOff>200025</xdr:colOff>
          <xdr:row>34</xdr:row>
          <xdr:rowOff>238125</xdr:rowOff>
        </xdr:to>
        <xdr:sp macro="" textlink="">
          <xdr:nvSpPr>
            <xdr:cNvPr id="1146" name="Check Box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35</xdr:row>
          <xdr:rowOff>19050</xdr:rowOff>
        </xdr:from>
        <xdr:to>
          <xdr:col>7</xdr:col>
          <xdr:colOff>200025</xdr:colOff>
          <xdr:row>35</xdr:row>
          <xdr:rowOff>238125</xdr:rowOff>
        </xdr:to>
        <xdr:sp macro="" textlink="">
          <xdr:nvSpPr>
            <xdr:cNvPr id="1147" name="Check Box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19050</xdr:rowOff>
        </xdr:from>
        <xdr:to>
          <xdr:col>4</xdr:col>
          <xdr:colOff>200025</xdr:colOff>
          <xdr:row>22</xdr:row>
          <xdr:rowOff>238125</xdr:rowOff>
        </xdr:to>
        <xdr:sp macro="" textlink="">
          <xdr:nvSpPr>
            <xdr:cNvPr id="1148" name="Check Box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19050</xdr:rowOff>
        </xdr:from>
        <xdr:to>
          <xdr:col>4</xdr:col>
          <xdr:colOff>200025</xdr:colOff>
          <xdr:row>23</xdr:row>
          <xdr:rowOff>238125</xdr:rowOff>
        </xdr:to>
        <xdr:sp macro="" textlink="">
          <xdr:nvSpPr>
            <xdr:cNvPr id="1149" name="Check Box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24</xdr:row>
          <xdr:rowOff>19050</xdr:rowOff>
        </xdr:from>
        <xdr:to>
          <xdr:col>4</xdr:col>
          <xdr:colOff>200025</xdr:colOff>
          <xdr:row>24</xdr:row>
          <xdr:rowOff>238125</xdr:rowOff>
        </xdr:to>
        <xdr:sp macro="" textlink="">
          <xdr:nvSpPr>
            <xdr:cNvPr id="1150" name="Check Box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25</xdr:row>
          <xdr:rowOff>19050</xdr:rowOff>
        </xdr:from>
        <xdr:to>
          <xdr:col>4</xdr:col>
          <xdr:colOff>200025</xdr:colOff>
          <xdr:row>25</xdr:row>
          <xdr:rowOff>238125</xdr:rowOff>
        </xdr:to>
        <xdr:sp macro="" textlink="">
          <xdr:nvSpPr>
            <xdr:cNvPr id="1151" name="Check Box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26</xdr:row>
          <xdr:rowOff>19050</xdr:rowOff>
        </xdr:from>
        <xdr:to>
          <xdr:col>4</xdr:col>
          <xdr:colOff>200025</xdr:colOff>
          <xdr:row>26</xdr:row>
          <xdr:rowOff>238125</xdr:rowOff>
        </xdr:to>
        <xdr:sp macro="" textlink="">
          <xdr:nvSpPr>
            <xdr:cNvPr id="1152" name="Check Box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21</xdr:row>
          <xdr:rowOff>19050</xdr:rowOff>
        </xdr:from>
        <xdr:to>
          <xdr:col>6</xdr:col>
          <xdr:colOff>200025</xdr:colOff>
          <xdr:row>21</xdr:row>
          <xdr:rowOff>238125</xdr:rowOff>
        </xdr:to>
        <xdr:sp macro="" textlink="">
          <xdr:nvSpPr>
            <xdr:cNvPr id="1194" name="Check Box 170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0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22</xdr:row>
          <xdr:rowOff>19050</xdr:rowOff>
        </xdr:from>
        <xdr:to>
          <xdr:col>6</xdr:col>
          <xdr:colOff>200025</xdr:colOff>
          <xdr:row>22</xdr:row>
          <xdr:rowOff>238125</xdr:rowOff>
        </xdr:to>
        <xdr:sp macro="" textlink="">
          <xdr:nvSpPr>
            <xdr:cNvPr id="1195" name="Check Box 17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23</xdr:row>
          <xdr:rowOff>19050</xdr:rowOff>
        </xdr:from>
        <xdr:to>
          <xdr:col>6</xdr:col>
          <xdr:colOff>200025</xdr:colOff>
          <xdr:row>23</xdr:row>
          <xdr:rowOff>238125</xdr:rowOff>
        </xdr:to>
        <xdr:sp macro="" textlink="">
          <xdr:nvSpPr>
            <xdr:cNvPr id="1196" name="Check Box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24</xdr:row>
          <xdr:rowOff>19050</xdr:rowOff>
        </xdr:from>
        <xdr:to>
          <xdr:col>6</xdr:col>
          <xdr:colOff>200025</xdr:colOff>
          <xdr:row>24</xdr:row>
          <xdr:rowOff>238125</xdr:rowOff>
        </xdr:to>
        <xdr:sp macro="" textlink="">
          <xdr:nvSpPr>
            <xdr:cNvPr id="1197" name="Check Box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25</xdr:row>
          <xdr:rowOff>19050</xdr:rowOff>
        </xdr:from>
        <xdr:to>
          <xdr:col>6</xdr:col>
          <xdr:colOff>200025</xdr:colOff>
          <xdr:row>25</xdr:row>
          <xdr:rowOff>238125</xdr:rowOff>
        </xdr:to>
        <xdr:sp macro="" textlink="">
          <xdr:nvSpPr>
            <xdr:cNvPr id="1198" name="Check Box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26</xdr:row>
          <xdr:rowOff>19050</xdr:rowOff>
        </xdr:from>
        <xdr:to>
          <xdr:col>6</xdr:col>
          <xdr:colOff>200025</xdr:colOff>
          <xdr:row>26</xdr:row>
          <xdr:rowOff>238125</xdr:rowOff>
        </xdr:to>
        <xdr:sp macro="" textlink="">
          <xdr:nvSpPr>
            <xdr:cNvPr id="1199" name="Check Box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27</xdr:row>
          <xdr:rowOff>19050</xdr:rowOff>
        </xdr:from>
        <xdr:to>
          <xdr:col>6</xdr:col>
          <xdr:colOff>200025</xdr:colOff>
          <xdr:row>27</xdr:row>
          <xdr:rowOff>238125</xdr:rowOff>
        </xdr:to>
        <xdr:sp macro="" textlink="">
          <xdr:nvSpPr>
            <xdr:cNvPr id="1200" name="Check Box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19050</xdr:rowOff>
        </xdr:from>
        <xdr:to>
          <xdr:col>7</xdr:col>
          <xdr:colOff>200025</xdr:colOff>
          <xdr:row>21</xdr:row>
          <xdr:rowOff>238125</xdr:rowOff>
        </xdr:to>
        <xdr:sp macro="" textlink="">
          <xdr:nvSpPr>
            <xdr:cNvPr id="1201" name="Check Box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19050</xdr:rowOff>
        </xdr:from>
        <xdr:to>
          <xdr:col>7</xdr:col>
          <xdr:colOff>200025</xdr:colOff>
          <xdr:row>22</xdr:row>
          <xdr:rowOff>238125</xdr:rowOff>
        </xdr:to>
        <xdr:sp macro="" textlink="">
          <xdr:nvSpPr>
            <xdr:cNvPr id="1202" name="Check Box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23</xdr:row>
          <xdr:rowOff>19050</xdr:rowOff>
        </xdr:from>
        <xdr:to>
          <xdr:col>7</xdr:col>
          <xdr:colOff>200025</xdr:colOff>
          <xdr:row>23</xdr:row>
          <xdr:rowOff>238125</xdr:rowOff>
        </xdr:to>
        <xdr:sp macro="" textlink="">
          <xdr:nvSpPr>
            <xdr:cNvPr id="1203" name="Check Box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19050</xdr:rowOff>
        </xdr:from>
        <xdr:to>
          <xdr:col>7</xdr:col>
          <xdr:colOff>200025</xdr:colOff>
          <xdr:row>24</xdr:row>
          <xdr:rowOff>238125</xdr:rowOff>
        </xdr:to>
        <xdr:sp macro="" textlink="">
          <xdr:nvSpPr>
            <xdr:cNvPr id="1204" name="Check Box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19050</xdr:rowOff>
        </xdr:from>
        <xdr:to>
          <xdr:col>7</xdr:col>
          <xdr:colOff>200025</xdr:colOff>
          <xdr:row>25</xdr:row>
          <xdr:rowOff>238125</xdr:rowOff>
        </xdr:to>
        <xdr:sp macro="" textlink="">
          <xdr:nvSpPr>
            <xdr:cNvPr id="1205" name="Check Box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19050</xdr:rowOff>
        </xdr:from>
        <xdr:to>
          <xdr:col>7</xdr:col>
          <xdr:colOff>200025</xdr:colOff>
          <xdr:row>26</xdr:row>
          <xdr:rowOff>238125</xdr:rowOff>
        </xdr:to>
        <xdr:sp macro="" textlink="">
          <xdr:nvSpPr>
            <xdr:cNvPr id="1206" name="Check Box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20</xdr:row>
          <xdr:rowOff>9525</xdr:rowOff>
        </xdr:from>
        <xdr:to>
          <xdr:col>5</xdr:col>
          <xdr:colOff>200025</xdr:colOff>
          <xdr:row>20</xdr:row>
          <xdr:rowOff>228600</xdr:rowOff>
        </xdr:to>
        <xdr:sp macro="" textlink="">
          <xdr:nvSpPr>
            <xdr:cNvPr id="1226" name="Check Box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21</xdr:row>
          <xdr:rowOff>19050</xdr:rowOff>
        </xdr:from>
        <xdr:to>
          <xdr:col>5</xdr:col>
          <xdr:colOff>200025</xdr:colOff>
          <xdr:row>21</xdr:row>
          <xdr:rowOff>238125</xdr:rowOff>
        </xdr:to>
        <xdr:sp macro="" textlink="">
          <xdr:nvSpPr>
            <xdr:cNvPr id="1227" name="Check Box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22</xdr:row>
          <xdr:rowOff>19050</xdr:rowOff>
        </xdr:from>
        <xdr:to>
          <xdr:col>5</xdr:col>
          <xdr:colOff>200025</xdr:colOff>
          <xdr:row>22</xdr:row>
          <xdr:rowOff>238125</xdr:rowOff>
        </xdr:to>
        <xdr:sp macro="" textlink="">
          <xdr:nvSpPr>
            <xdr:cNvPr id="1228" name="Check Box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23</xdr:row>
          <xdr:rowOff>19050</xdr:rowOff>
        </xdr:from>
        <xdr:to>
          <xdr:col>5</xdr:col>
          <xdr:colOff>200025</xdr:colOff>
          <xdr:row>23</xdr:row>
          <xdr:rowOff>238125</xdr:rowOff>
        </xdr:to>
        <xdr:sp macro="" textlink="">
          <xdr:nvSpPr>
            <xdr:cNvPr id="1229" name="Check Box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24</xdr:row>
          <xdr:rowOff>19050</xdr:rowOff>
        </xdr:from>
        <xdr:to>
          <xdr:col>5</xdr:col>
          <xdr:colOff>200025</xdr:colOff>
          <xdr:row>24</xdr:row>
          <xdr:rowOff>238125</xdr:rowOff>
        </xdr:to>
        <xdr:sp macro="" textlink="">
          <xdr:nvSpPr>
            <xdr:cNvPr id="1230" name="Check Box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25</xdr:row>
          <xdr:rowOff>19050</xdr:rowOff>
        </xdr:from>
        <xdr:to>
          <xdr:col>5</xdr:col>
          <xdr:colOff>200025</xdr:colOff>
          <xdr:row>25</xdr:row>
          <xdr:rowOff>238125</xdr:rowOff>
        </xdr:to>
        <xdr:sp macro="" textlink="">
          <xdr:nvSpPr>
            <xdr:cNvPr id="1231" name="Check Box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0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26</xdr:row>
          <xdr:rowOff>19050</xdr:rowOff>
        </xdr:from>
        <xdr:to>
          <xdr:col>5</xdr:col>
          <xdr:colOff>200025</xdr:colOff>
          <xdr:row>26</xdr:row>
          <xdr:rowOff>238125</xdr:rowOff>
        </xdr:to>
        <xdr:sp macro="" textlink="">
          <xdr:nvSpPr>
            <xdr:cNvPr id="1232" name="Check Box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27</xdr:row>
          <xdr:rowOff>19050</xdr:rowOff>
        </xdr:from>
        <xdr:to>
          <xdr:col>5</xdr:col>
          <xdr:colOff>200025</xdr:colOff>
          <xdr:row>27</xdr:row>
          <xdr:rowOff>238125</xdr:rowOff>
        </xdr:to>
        <xdr:sp macro="" textlink="">
          <xdr:nvSpPr>
            <xdr:cNvPr id="1233" name="Check Box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0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28</xdr:row>
          <xdr:rowOff>19050</xdr:rowOff>
        </xdr:from>
        <xdr:to>
          <xdr:col>5</xdr:col>
          <xdr:colOff>200025</xdr:colOff>
          <xdr:row>28</xdr:row>
          <xdr:rowOff>238125</xdr:rowOff>
        </xdr:to>
        <xdr:sp macro="" textlink="">
          <xdr:nvSpPr>
            <xdr:cNvPr id="1234" name="Check Box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29</xdr:row>
          <xdr:rowOff>19050</xdr:rowOff>
        </xdr:from>
        <xdr:to>
          <xdr:col>5</xdr:col>
          <xdr:colOff>200025</xdr:colOff>
          <xdr:row>29</xdr:row>
          <xdr:rowOff>238125</xdr:rowOff>
        </xdr:to>
        <xdr:sp macro="" textlink="">
          <xdr:nvSpPr>
            <xdr:cNvPr id="1235" name="Check Box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30</xdr:row>
          <xdr:rowOff>19050</xdr:rowOff>
        </xdr:from>
        <xdr:to>
          <xdr:col>5</xdr:col>
          <xdr:colOff>200025</xdr:colOff>
          <xdr:row>30</xdr:row>
          <xdr:rowOff>238125</xdr:rowOff>
        </xdr:to>
        <xdr:sp macro="" textlink="">
          <xdr:nvSpPr>
            <xdr:cNvPr id="1236" name="Check Box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19050</xdr:rowOff>
        </xdr:from>
        <xdr:to>
          <xdr:col>5</xdr:col>
          <xdr:colOff>200025</xdr:colOff>
          <xdr:row>31</xdr:row>
          <xdr:rowOff>238125</xdr:rowOff>
        </xdr:to>
        <xdr:sp macro="" textlink="">
          <xdr:nvSpPr>
            <xdr:cNvPr id="1237" name="Check Box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0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32</xdr:row>
          <xdr:rowOff>19050</xdr:rowOff>
        </xdr:from>
        <xdr:to>
          <xdr:col>5</xdr:col>
          <xdr:colOff>200025</xdr:colOff>
          <xdr:row>32</xdr:row>
          <xdr:rowOff>238125</xdr:rowOff>
        </xdr:to>
        <xdr:sp macro="" textlink="">
          <xdr:nvSpPr>
            <xdr:cNvPr id="1238" name="Check Box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33</xdr:row>
          <xdr:rowOff>19050</xdr:rowOff>
        </xdr:from>
        <xdr:to>
          <xdr:col>5</xdr:col>
          <xdr:colOff>200025</xdr:colOff>
          <xdr:row>33</xdr:row>
          <xdr:rowOff>238125</xdr:rowOff>
        </xdr:to>
        <xdr:sp macro="" textlink="">
          <xdr:nvSpPr>
            <xdr:cNvPr id="1239" name="Check Box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34</xdr:row>
          <xdr:rowOff>19050</xdr:rowOff>
        </xdr:from>
        <xdr:to>
          <xdr:col>5</xdr:col>
          <xdr:colOff>200025</xdr:colOff>
          <xdr:row>34</xdr:row>
          <xdr:rowOff>238125</xdr:rowOff>
        </xdr:to>
        <xdr:sp macro="" textlink="">
          <xdr:nvSpPr>
            <xdr:cNvPr id="1240" name="Check Box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35</xdr:row>
          <xdr:rowOff>19050</xdr:rowOff>
        </xdr:from>
        <xdr:to>
          <xdr:col>5</xdr:col>
          <xdr:colOff>200025</xdr:colOff>
          <xdr:row>35</xdr:row>
          <xdr:rowOff>238125</xdr:rowOff>
        </xdr:to>
        <xdr:sp macro="" textlink="">
          <xdr:nvSpPr>
            <xdr:cNvPr id="1242" name="Check Box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5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5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5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5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5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5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5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5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5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5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6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6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6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6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02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02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02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02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02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02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03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03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03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03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03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03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03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03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0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03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0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03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04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04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1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04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04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04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04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047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048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049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050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05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05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05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05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2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05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05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06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06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2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06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06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06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06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2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06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06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06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06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07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07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07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07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3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07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07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3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07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07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3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07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07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3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08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08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3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08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08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08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08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08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08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3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08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4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08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4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09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4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09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4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09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4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09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4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09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4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09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4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09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4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09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4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107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5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108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5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109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5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110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5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111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5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112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5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113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5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114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5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115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5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116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5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117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5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118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5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119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5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120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6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121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122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6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123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6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124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6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125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6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134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6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135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6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136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7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137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7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138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7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153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8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154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8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155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8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156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8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157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8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158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8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159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8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160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8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161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8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162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8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163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8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164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8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165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8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166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8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167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8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168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9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169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9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170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9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171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9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172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9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173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9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174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9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175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9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176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9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177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9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178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9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179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9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180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9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181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9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182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9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183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9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184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A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185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A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186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A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187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A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188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A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189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A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190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A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191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A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192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A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193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A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20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B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20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B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20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B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21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B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21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B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21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B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21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B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21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B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21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B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21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C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21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C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21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C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21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C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22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C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22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C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22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C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22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C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22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C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22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C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241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D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30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1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30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30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1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30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30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1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31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31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1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31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31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31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31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31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31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2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31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31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2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32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32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2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32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32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2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32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32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2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32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32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2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32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32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33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33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33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33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3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33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33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3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33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33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3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33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3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33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34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3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34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34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3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34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3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34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4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34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4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34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34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4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34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34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4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35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35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4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35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35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4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35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35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4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35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35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4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35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35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4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36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36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5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36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36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5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36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36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5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36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36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5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36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36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5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37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37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37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37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5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37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37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5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37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37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6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37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37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6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38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38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6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38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38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6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38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38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6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38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38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6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38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38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6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39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39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6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39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39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7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39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39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7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39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39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7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39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39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7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40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40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7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40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40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7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40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40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7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40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40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7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40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8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40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41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8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41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41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8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41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41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8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41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41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8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41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41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8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41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42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8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42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42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8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42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42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9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42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42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9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42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42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9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42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43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9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43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43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9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43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43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9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43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43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9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43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43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9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43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44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A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44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44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A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44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44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A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44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44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A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44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44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A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44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A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45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A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45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45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A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45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A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45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A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45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A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45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B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45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B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45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B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45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B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46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B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46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46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B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46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46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B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46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46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B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46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B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46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B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46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47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B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47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47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C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47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47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C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47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47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C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47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47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C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47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48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C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48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48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C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48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48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C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48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C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48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C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48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C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48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D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48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D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49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D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49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D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49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D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49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D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49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D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49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D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49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D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49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D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49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D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49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D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50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D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50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D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50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D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50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D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50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E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50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E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50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E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50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E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50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E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50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E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51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E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51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E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51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E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51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E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51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E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51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E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51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E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51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E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51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E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51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E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52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F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52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F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52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F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52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F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52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F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52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F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52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F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52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F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52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F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52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F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53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F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53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F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53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F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53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F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53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F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53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F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53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0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53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0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53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0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53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0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54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0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54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0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54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0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54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0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54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0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54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0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54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0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54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0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54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0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54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0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55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0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55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0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55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1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55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1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55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1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55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1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55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1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55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1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55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1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55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1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56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1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56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1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56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1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56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1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56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1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56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1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56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1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56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1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56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2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56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2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57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2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57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2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57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2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57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2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57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2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57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2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57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2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57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2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57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2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57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2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58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2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58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2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58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2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58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2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58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3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58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3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58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3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58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3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58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3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58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3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59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3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59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3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59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3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59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3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59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3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59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3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59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3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59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3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59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3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59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3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60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4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60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4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60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4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60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4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60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4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60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4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60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4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60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4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60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4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60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4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61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4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61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4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61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4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61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4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61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4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61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4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61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5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61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5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61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5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61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5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62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5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62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5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62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5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62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5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62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5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62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5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62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5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62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5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62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5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62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5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63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5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63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5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63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6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63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6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63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6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63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6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63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6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63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6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63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6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63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6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64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6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64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6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64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6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64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6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64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6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64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6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64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6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64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6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64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7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64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7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65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7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65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7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65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7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65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7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65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7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65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7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65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7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65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7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65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7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65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7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66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7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66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7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66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7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66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7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66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8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66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8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66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8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66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8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66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8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66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8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67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8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67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8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67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8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67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8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67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8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67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8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67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8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67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8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67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8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67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8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68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9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68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9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68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9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68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9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68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9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68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9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68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9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68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9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68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9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68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9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69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9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69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9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69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9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69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9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69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9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69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9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69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A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69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A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69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A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69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A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70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A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70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A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70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A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70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A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70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A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70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A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70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A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70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A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70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A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70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A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71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A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71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A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71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B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71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B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71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B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71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B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71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B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71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B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71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B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71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B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72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B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72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B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72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B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72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B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72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B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72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B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72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72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72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72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73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73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73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73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73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73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73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73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73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73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74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74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74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74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74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74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74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74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74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74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75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D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75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D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75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D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75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D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75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D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75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D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75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D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75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D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75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D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75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D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76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E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76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E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76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E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76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E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76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E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76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E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76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E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76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E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76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E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76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E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77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E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77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E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77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E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77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E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77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E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77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E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77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F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77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F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77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F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77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F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78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F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78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F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78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F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78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F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78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F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78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F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78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F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78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F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78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F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78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F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79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F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79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F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79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0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79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0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79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0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79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0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79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0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79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0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79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0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79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0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80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0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80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0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80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0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80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0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80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0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80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0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80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0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80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0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80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1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80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1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81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1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81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1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81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1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81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1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81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1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81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1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81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1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81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1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81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1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81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1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82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1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82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1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82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1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82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1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82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2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82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2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82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2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82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2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82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2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82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2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83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2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83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2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83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2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83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2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83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2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83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2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83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2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83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2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83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2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83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2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84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3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84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3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84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3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84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3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84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3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84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3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84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3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84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3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84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3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84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3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85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3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85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3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85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3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85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3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85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3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85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3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85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4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85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4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85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4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85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4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86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4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86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4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86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4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86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4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86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4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86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4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86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4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86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4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86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4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86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4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87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4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87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4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87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5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87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5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87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5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87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5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87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5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87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5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87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5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87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5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88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5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88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5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88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5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88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5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88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5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88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5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88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5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88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5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88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6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88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6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89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6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89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6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89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6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89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6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89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6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89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6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89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6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89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6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89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6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89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6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90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6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90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6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90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6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90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6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90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7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90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7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90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7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90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7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90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7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90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7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91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7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91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7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91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7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91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7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91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7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91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7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91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7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91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7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91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7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91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7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92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8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92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8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92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8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92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8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92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8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92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8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92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8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92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8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92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8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92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8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93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8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93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8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93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8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93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8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93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8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93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8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93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9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93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9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93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9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93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9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94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9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94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9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94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9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94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9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94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9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94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9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94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9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94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9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94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9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94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9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95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9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95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9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95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A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95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A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95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A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95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A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95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A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95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A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95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A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95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A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96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A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96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A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96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A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96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A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96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A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96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A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96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A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96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A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96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B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96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B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97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B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97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B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97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B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97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B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97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B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97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B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97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B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97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B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97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B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97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B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98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B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98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B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98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B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98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B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98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C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98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C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98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C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98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C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98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C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98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C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99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C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99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C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99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C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99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C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99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C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99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C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99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C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99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C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99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C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99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C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00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D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00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D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00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D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00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D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00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D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00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D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00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D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00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D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00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D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00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D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01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D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01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D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01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D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01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D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01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D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01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D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01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E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01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E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01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E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01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E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02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E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02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E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02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E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02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E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02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E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02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E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02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E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02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E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02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E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02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E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03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E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03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E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03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F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03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F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03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F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03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F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03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F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03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F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03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F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03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F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04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F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04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F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04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F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04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F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04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F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04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F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04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F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04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F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04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0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04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05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05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0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05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0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05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0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05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0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05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0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05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0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05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0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05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0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05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0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06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0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06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0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06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0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06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0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06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1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06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1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06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1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06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1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06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1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06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1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07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1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07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1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07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1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07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1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07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1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07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1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07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1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07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1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07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1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07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1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08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2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08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2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08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2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08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2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08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2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08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2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08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2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08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2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08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2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08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2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09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2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09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2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09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2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09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2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09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2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09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2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09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3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09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3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09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3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09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3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10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3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10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3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10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3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10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3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10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3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10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3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10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3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10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3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10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3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10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3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11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3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11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3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11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4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11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4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11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4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11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4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11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4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11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4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11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4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11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4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12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4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12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4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12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4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12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12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4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12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4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12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4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12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4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12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5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12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5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13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5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13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5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13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5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13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5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13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5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13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5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13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5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13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5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13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5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13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5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14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5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14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5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14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5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14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5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14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6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14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6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14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6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14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6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14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6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14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6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15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6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15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6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15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6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15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6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15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6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15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6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15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6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15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6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15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6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15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6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16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7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16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7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16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7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16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7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16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7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16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7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16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7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16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7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16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7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16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7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17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7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17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7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17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7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17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7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17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7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17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7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17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8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17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8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17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8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17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8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18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8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18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8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18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8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18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8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18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8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18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8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18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8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18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8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18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8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18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8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19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8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19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8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19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9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19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9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19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9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19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9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19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9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19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9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19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9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19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9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20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9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20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9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20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9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20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9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20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9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20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9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20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9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20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9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20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A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20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A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21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A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21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A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21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A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21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A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21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A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21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A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21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A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21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A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21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A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21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A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22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A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22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A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22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A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22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A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22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B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22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B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22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B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22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B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22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B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22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B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23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B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23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B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23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B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23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B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23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B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23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B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23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B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23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B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23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B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23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B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24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C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24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C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24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C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24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C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24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C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24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C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24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C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24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C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24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C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24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C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25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C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25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C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25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C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25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C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25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C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25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C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25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D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25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D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25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D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25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D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26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D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26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D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26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D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26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D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26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D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26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D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26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D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26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D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26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D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26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D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27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D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27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D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27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E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27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E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27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E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27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E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27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E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27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E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27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E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27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E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28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E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28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E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28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E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28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E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28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E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28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E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28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E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28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E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28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F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28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F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29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F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29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F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29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F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29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F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29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F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29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F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29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F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29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F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29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F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29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F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30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F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30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F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30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F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30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F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30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0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30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0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30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0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30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0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30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0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30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0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31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0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31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0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31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0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31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0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31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0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31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0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31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0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31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0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31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0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31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0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32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1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32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1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32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1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32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1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32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1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32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1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32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1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32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1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32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1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32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1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33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1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33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1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33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1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33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1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33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1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33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1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33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2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33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2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33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2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33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2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34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2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34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2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34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2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34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2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34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2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34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2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34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2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34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2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34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2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34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2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35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2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35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2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35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3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35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3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35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3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35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3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35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3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35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3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35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3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35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3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36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3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36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3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36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3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36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3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36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3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36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3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36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3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36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3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36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4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36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4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37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4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37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4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37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4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37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4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37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4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37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4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37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4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37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4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37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4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37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4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38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4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38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4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38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4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38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4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38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5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38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5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38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5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38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5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38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5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38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5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39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5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39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5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39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5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39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5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39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5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39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5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39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5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39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5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39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5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39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5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40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6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40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6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40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6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40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6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40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6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40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6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40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6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40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6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40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6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40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6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41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6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41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6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41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6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41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6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41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6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41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6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41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7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41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7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41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7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41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7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42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7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42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7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42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7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42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7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42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7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42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7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42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7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42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7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42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7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42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7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43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7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43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7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43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8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43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8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43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8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43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8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43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8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43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8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43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8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43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8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44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8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44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8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44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8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44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8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44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8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44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8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44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8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44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8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44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9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44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9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45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9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45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9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45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9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45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9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45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9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45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9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45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9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45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9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45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9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45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9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46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9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46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9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46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9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46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9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46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A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46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A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46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A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46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A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46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A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46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A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47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A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47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A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47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A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47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A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47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A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47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A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47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A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47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A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47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A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47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A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48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B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48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B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48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B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48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B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48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B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48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B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48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B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48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B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48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B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48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B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49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B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49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B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49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B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49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B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49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B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49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B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49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C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49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C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49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C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49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C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50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C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50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C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50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C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50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C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50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C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50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C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50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C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50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C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50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C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50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C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51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C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51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C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51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D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51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D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51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D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51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D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51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D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51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D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51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D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51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D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52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D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52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D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52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D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52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D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52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D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52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D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52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D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52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D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52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E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52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E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53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E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53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E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53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E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53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E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53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E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53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E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53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E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53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E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53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E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53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E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54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E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54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E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54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E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54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E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54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F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54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F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54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F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54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F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54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F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54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F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55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F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55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F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55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F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55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F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55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F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55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F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55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F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55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F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55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F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55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F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56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0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56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0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56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0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56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0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56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0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56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0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56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0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56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0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56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0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56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0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57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0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57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0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57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0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57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0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57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0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57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0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57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1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57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1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57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1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57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1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58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1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58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1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58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1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58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1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58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1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58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1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58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1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58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1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58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1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58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1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59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1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59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1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59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2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59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2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59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2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59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2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59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2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59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2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59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2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59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2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60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2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60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2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60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2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60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2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60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2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60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2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60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2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60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2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60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3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60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3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61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3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61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3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61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3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61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3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61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3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61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3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61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3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61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3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61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3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61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3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62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3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62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3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62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3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62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3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62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4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62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4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62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4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62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4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62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4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62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4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63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4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63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4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63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4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63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4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63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4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63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4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63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4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63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4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63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4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63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4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64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5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64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5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64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5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64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5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64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5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64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5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64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5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64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5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64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5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64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5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65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5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65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5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65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5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65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5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65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5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65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5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65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6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65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6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65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6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65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6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66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6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66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6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66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6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66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6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66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6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66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6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66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6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66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6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66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6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66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6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67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6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67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6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67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7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67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7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67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7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67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7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67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7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67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7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67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7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67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7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68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7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68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7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68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7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68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7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68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7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68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7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68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7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68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7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68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8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68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8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69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8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69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8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69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8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69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8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69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8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69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8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69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8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69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8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69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8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69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8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70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8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70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8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70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8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70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8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70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9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70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9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70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9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70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9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70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9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70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9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71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9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71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9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71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9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71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9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71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9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71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9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71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9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71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9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71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9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71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9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72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A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72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A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72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A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72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A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72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A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72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A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72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A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72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A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72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A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72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A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73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A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73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A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73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A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73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A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73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A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73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A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73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B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73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B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73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B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73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B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74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B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74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B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74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B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74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B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74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B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74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B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74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B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74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B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74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B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74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B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75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B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75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B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75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C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75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C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75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C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75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C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75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C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75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C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75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C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75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C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76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C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76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C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76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C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76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C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76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C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76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C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76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C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76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C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76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D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76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D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77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D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77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D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77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D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77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D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77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D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77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D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77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D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77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D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77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D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77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D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78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D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78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D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78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D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78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D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78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E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78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E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78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E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78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E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78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E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78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E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79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E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79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E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79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E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79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E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79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E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79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E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79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E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79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E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79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E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79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E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80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F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80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F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80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F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80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F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80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F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80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F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80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F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80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F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80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F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80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F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81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F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81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F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81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F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81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F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81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F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81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F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81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0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81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0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81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0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81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0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82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0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82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0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82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0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82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0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82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0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82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0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82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0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82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0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82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0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82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0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83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0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83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0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83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1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83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1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83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1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83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1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83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1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83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1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83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1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83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1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84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1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84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1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84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1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84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1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84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1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84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1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84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1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84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1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84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2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84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2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85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2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85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2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85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2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85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2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85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2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85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2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85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2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85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2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85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2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85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2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86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2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86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2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86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86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86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3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86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3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86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3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86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3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86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3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86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3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87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3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87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3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87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3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87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3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87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3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87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3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87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3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87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3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87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87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88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4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88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4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88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4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88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4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88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4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88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4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88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4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88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4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88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4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88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4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89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4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89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4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89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4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89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4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89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4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89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4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89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5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89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5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89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5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89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5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90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5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90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5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90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5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90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5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90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5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90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5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90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5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90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5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90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5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90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5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91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5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91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5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91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6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91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6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91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6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91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6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91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6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91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6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91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6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91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6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92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6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92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6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92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6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92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6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92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6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92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6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92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6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92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6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92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7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92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7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93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7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93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7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93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7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93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7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93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7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93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7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93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7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93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7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93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7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93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7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94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7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94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7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94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7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94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7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94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8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94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8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94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8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94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8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94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8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94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8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95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8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95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8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95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8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95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8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95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8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95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8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95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8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95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8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95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8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95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8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96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9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96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9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96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9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96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9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96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9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96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9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96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9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96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9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96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9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96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9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97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9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97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9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97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9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97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9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97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9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97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9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97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A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97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A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97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A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97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A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98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A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98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A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98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A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98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A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98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A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98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A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98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A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98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A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98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A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98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A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99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A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99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A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99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B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99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B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99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B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99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B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99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B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99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B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99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B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99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B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00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B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00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B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00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B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00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B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00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B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00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B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00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B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00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B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00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C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00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C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01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C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01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C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01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C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01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C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01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C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01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C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01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C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01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C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01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C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01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C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02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C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02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C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02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C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02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C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02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D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02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D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02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D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02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D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02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D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02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D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03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D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03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D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03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D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03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D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03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D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03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D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03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D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03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D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03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D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03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D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04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E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04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E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04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E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04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E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04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E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04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E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04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E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04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E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04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E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04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E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05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E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05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E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05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E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05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E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05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E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05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E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05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F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05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F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05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F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05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F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06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F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06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F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06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F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06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F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06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F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06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F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06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F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06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F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06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F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06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F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07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F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07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F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07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0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07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07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07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07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07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07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07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08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0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08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08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0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08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0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08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0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08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08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0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08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0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08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1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08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1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09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1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09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1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09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1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09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1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09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1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09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1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09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1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09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1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09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1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09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1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10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1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10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1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10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1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10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10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2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10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2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10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2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10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2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10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2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10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2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11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11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11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11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11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2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11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2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11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2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11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2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11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2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11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2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12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3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12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3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12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3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12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3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12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3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12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3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12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12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12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12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13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3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13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3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13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3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13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3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13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3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13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3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13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4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13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4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13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4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13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4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14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4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14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4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14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4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14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4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14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4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14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4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14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4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14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4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14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4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14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4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15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4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15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4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15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5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15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5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15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5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15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5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15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5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15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5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15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5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15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5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16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5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16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5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16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5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16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5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16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5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16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5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16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5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16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5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16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6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16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6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17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6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17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6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17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6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17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6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17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6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17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6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17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6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17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6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17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6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17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6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18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6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18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6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18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6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18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6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18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7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18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18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7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18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7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18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7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18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7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19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7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19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7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19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7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19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7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19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7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19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7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19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7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19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7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19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7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19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7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20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8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20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8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20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8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20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8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20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8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20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8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20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8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20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8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20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8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20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8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21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8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21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8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21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8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21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8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21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8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21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8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21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9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21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9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21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9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21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9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22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9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22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9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22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9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22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9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22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9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22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9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22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9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22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9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22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9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22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9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23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9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23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9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23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A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23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A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23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A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23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A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23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A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23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A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23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A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23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A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24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A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24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A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24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A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24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A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24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A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24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A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24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A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24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A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24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B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24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B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25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B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25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B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25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B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25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B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25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B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25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B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25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B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25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B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25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B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25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B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26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B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26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B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26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B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26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B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26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C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26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C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26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C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26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C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26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C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26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C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27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C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27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C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27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C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27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C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27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C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27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C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27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C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27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C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27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C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27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C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28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D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28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D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28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D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28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D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28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D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28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D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28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D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28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D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28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D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28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D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29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D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29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D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29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D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29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D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29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D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29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D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29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E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29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E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29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E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29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E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30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E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30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E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30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E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30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E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30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E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30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E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30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E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30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E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30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E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30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E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31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E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31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E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31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F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31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F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31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F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31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F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31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F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31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F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31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F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31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F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32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F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32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F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32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F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32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F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32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F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32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F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32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F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32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F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32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0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32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0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33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0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33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0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33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0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33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0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33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0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33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0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33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0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33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0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33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0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33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0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34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0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34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0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34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0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34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0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34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1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34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1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34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1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34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1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34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1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34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1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35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1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35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1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35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1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35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1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35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1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35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1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35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1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35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1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35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1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35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1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36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36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36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2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36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2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36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2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36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2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36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2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36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2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36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2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36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2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37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2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37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2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37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2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37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2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37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2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37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2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37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37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37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3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37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3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38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3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38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3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38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3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38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3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38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3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38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3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38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3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38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3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38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3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38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3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39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3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39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3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39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4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39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4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39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4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39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4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39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4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39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4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39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4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39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4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40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4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40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4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40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4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40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4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40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4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40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4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40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4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40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4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40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5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40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5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41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5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41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5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41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5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41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5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41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5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41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5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41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5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41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5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41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5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41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5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42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5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42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5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42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5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42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5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42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6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42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6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42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6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42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6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42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6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42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6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43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6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43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6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43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6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43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6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43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6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43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6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43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6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43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6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43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6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43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6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44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7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44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7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44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7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44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7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44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7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44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7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44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7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44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7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44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7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44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7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45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7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45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7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45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7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45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7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45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7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45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7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45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8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45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8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45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8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45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8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46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8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46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8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46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8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46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8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46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8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46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8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46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8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46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8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46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8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46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8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47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8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47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8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47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9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47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9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47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9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47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9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47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9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47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9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47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9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47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9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48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9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48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9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48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9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48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9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48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9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48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9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48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9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48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9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48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A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48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A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49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A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49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A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49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A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49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A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49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A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49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A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49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A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49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A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49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A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49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A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50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A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50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A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50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A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50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A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50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B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50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B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50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B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50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B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50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B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50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B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51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B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51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B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51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B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51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B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51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B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51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B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51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B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51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B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51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B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51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B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52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C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52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C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52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C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52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C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52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C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52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C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52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C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52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C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52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C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52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C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53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C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53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C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53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C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53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C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53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C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53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C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53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D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53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D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53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D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53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D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54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D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54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D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54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D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54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D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54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D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54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D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54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D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54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D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54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D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54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D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55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D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55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D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55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E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55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E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55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E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55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E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55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E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55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E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55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E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55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E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56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E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56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E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56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E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56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E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56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E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56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E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56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E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56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E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56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F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56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F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57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F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57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F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57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F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57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F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57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F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57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F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57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F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57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F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57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F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57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F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58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F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58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F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58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F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58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F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58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0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58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0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58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0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58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0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58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0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58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0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59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0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59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0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59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0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59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0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59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0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59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0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59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0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59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0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59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0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59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0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60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1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60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1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60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1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60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1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60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1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60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1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60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1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60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1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60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1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60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1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61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1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61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1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61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1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61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1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61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1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61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1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61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2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61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2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61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2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61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2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62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2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62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2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62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2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62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2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62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2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62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2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62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2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62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2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62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2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62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2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63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2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63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2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63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3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63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3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63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3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63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3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63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3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63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3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63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3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63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3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64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3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64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3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64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3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64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3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64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3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64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3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64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3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64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3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64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4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64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4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65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4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65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4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65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4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65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4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65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4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65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4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65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4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65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4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65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4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65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4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66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4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66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4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66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4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66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4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66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5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66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5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66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5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66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5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66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5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66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5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67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5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67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5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67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5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67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5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67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5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67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5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67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5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67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5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67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5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67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5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68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6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68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6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68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6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68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6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68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6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68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6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68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6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68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6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68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6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68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6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69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6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69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6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69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6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69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6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69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6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69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6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69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7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69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7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69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7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69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7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70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7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70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7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70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7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70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7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70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7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70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7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70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7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70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7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70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7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70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7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71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7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71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7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71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8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71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8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71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8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71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8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71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8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71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8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71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8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71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8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72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8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72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8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72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8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72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8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72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8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72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8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72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8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72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8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72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9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72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9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73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9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73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9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73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9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73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9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73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9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73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9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73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9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73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9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73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9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73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9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74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9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74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9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74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9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74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9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74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A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74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A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74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A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74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A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74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A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74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A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75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A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75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A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75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A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75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A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75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A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75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A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75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A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75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A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75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A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75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A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76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B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76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B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76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B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76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B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76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B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76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B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76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B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76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B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76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B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76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B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77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B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77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B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77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B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77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B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77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B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77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B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77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C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77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C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77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C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77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C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78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C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78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C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78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C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78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C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78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C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78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C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78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C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78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C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78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C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78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C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79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C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79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C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79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D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79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D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79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D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79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D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79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D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79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D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79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D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79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D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80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D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80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D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80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D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80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D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80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D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80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D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80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D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80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D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80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E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80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E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81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E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81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E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81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E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81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E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81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E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81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E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81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E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81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E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81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E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81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E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82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E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82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E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82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E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82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E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82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F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82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F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82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F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82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F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82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F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82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F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83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F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83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F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83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F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83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F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83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F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83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F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83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F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83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F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83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F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83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F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84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0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84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0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84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0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84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0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84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0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84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0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84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0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84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0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84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0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84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0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85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0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85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0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85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0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85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0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85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0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85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0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85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1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85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1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85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1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85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1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86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1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86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1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86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1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86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1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86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1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86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1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86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1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86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1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86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1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86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1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87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1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87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1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87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2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87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2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87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2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87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2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87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2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87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2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87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2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87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2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88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2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88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2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88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2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88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2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88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2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88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2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88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2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88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2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88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3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88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3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89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3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89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3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89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3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89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3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89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3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89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3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89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3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89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3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89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3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89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3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90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3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90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3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90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3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90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3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90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4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90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4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90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4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90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4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90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4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90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4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91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4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91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4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91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4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91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4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91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4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91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4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91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4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91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4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91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4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91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4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92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5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92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5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92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5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92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5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92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5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92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5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92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5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92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5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92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5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92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5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93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5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93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5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93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5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93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5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93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5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93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5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93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6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93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6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93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6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93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6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94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6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94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6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94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6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94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6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94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6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94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6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94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6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94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6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94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6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94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6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95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6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95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6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95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7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95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7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95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7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95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7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95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7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95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7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95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7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95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7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96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7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96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7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96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7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96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7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96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7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96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7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96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7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96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7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96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8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96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8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97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8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97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8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97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8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97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8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97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8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97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8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97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8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97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8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97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8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97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8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98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8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98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8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98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8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98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8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98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9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98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9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98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9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98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9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98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9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98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9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99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9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99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9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99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9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99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9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99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9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99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9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99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9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99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9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99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9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99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9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00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A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00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A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19050</xdr:rowOff>
        </xdr:from>
        <xdr:to>
          <xdr:col>7</xdr:col>
          <xdr:colOff>200025</xdr:colOff>
          <xdr:row>20</xdr:row>
          <xdr:rowOff>238125</xdr:rowOff>
        </xdr:to>
        <xdr:sp macro="" textlink="">
          <xdr:nvSpPr>
            <xdr:cNvPr id="4002" name="Check Box 28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A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21</xdr:row>
          <xdr:rowOff>19050</xdr:rowOff>
        </xdr:from>
        <xdr:to>
          <xdr:col>4</xdr:col>
          <xdr:colOff>200025</xdr:colOff>
          <xdr:row>21</xdr:row>
          <xdr:rowOff>238125</xdr:rowOff>
        </xdr:to>
        <xdr:sp macro="" textlink="">
          <xdr:nvSpPr>
            <xdr:cNvPr id="4003" name="Check Box 29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A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27</xdr:row>
          <xdr:rowOff>19050</xdr:rowOff>
        </xdr:from>
        <xdr:to>
          <xdr:col>4</xdr:col>
          <xdr:colOff>200025</xdr:colOff>
          <xdr:row>27</xdr:row>
          <xdr:rowOff>238125</xdr:rowOff>
        </xdr:to>
        <xdr:sp macro="" textlink="">
          <xdr:nvSpPr>
            <xdr:cNvPr id="4004" name="Check Box 7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A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28</xdr:row>
          <xdr:rowOff>19050</xdr:rowOff>
        </xdr:from>
        <xdr:to>
          <xdr:col>4</xdr:col>
          <xdr:colOff>200025</xdr:colOff>
          <xdr:row>28</xdr:row>
          <xdr:rowOff>238125</xdr:rowOff>
        </xdr:to>
        <xdr:sp macro="" textlink="">
          <xdr:nvSpPr>
            <xdr:cNvPr id="4005" name="Check Box 75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000-0000A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29</xdr:row>
          <xdr:rowOff>19050</xdr:rowOff>
        </xdr:from>
        <xdr:to>
          <xdr:col>4</xdr:col>
          <xdr:colOff>200025</xdr:colOff>
          <xdr:row>29</xdr:row>
          <xdr:rowOff>238125</xdr:rowOff>
        </xdr:to>
        <xdr:sp macro="" textlink="">
          <xdr:nvSpPr>
            <xdr:cNvPr id="4006" name="Check Box 76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000-0000A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30</xdr:row>
          <xdr:rowOff>19050</xdr:rowOff>
        </xdr:from>
        <xdr:to>
          <xdr:col>4</xdr:col>
          <xdr:colOff>200025</xdr:colOff>
          <xdr:row>30</xdr:row>
          <xdr:rowOff>238125</xdr:rowOff>
        </xdr:to>
        <xdr:sp macro="" textlink="">
          <xdr:nvSpPr>
            <xdr:cNvPr id="4007" name="Check Box 77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000-0000A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31</xdr:row>
          <xdr:rowOff>19050</xdr:rowOff>
        </xdr:from>
        <xdr:to>
          <xdr:col>4</xdr:col>
          <xdr:colOff>200025</xdr:colOff>
          <xdr:row>31</xdr:row>
          <xdr:rowOff>238125</xdr:rowOff>
        </xdr:to>
        <xdr:sp macro="" textlink="">
          <xdr:nvSpPr>
            <xdr:cNvPr id="4008" name="Check Box 78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000-0000A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32</xdr:row>
          <xdr:rowOff>19050</xdr:rowOff>
        </xdr:from>
        <xdr:to>
          <xdr:col>4</xdr:col>
          <xdr:colOff>200025</xdr:colOff>
          <xdr:row>32</xdr:row>
          <xdr:rowOff>238125</xdr:rowOff>
        </xdr:to>
        <xdr:sp macro="" textlink="">
          <xdr:nvSpPr>
            <xdr:cNvPr id="4009" name="Check Box 79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000-0000A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33</xdr:row>
          <xdr:rowOff>19050</xdr:rowOff>
        </xdr:from>
        <xdr:to>
          <xdr:col>4</xdr:col>
          <xdr:colOff>200025</xdr:colOff>
          <xdr:row>33</xdr:row>
          <xdr:rowOff>238125</xdr:rowOff>
        </xdr:to>
        <xdr:sp macro="" textlink="">
          <xdr:nvSpPr>
            <xdr:cNvPr id="4010" name="Check Box 80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000-0000A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34</xdr:row>
          <xdr:rowOff>19050</xdr:rowOff>
        </xdr:from>
        <xdr:to>
          <xdr:col>4</xdr:col>
          <xdr:colOff>200025</xdr:colOff>
          <xdr:row>34</xdr:row>
          <xdr:rowOff>238125</xdr:rowOff>
        </xdr:to>
        <xdr:sp macro="" textlink="">
          <xdr:nvSpPr>
            <xdr:cNvPr id="4011" name="Check Box 81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000-0000A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35</xdr:row>
          <xdr:rowOff>19050</xdr:rowOff>
        </xdr:from>
        <xdr:to>
          <xdr:col>4</xdr:col>
          <xdr:colOff>200025</xdr:colOff>
          <xdr:row>35</xdr:row>
          <xdr:rowOff>238125</xdr:rowOff>
        </xdr:to>
        <xdr:sp macro="" textlink="">
          <xdr:nvSpPr>
            <xdr:cNvPr id="4012" name="Check Box 82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000-0000A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28</xdr:row>
          <xdr:rowOff>19050</xdr:rowOff>
        </xdr:from>
        <xdr:to>
          <xdr:col>6</xdr:col>
          <xdr:colOff>200025</xdr:colOff>
          <xdr:row>28</xdr:row>
          <xdr:rowOff>238125</xdr:rowOff>
        </xdr:to>
        <xdr:sp macro="" textlink="">
          <xdr:nvSpPr>
            <xdr:cNvPr id="4013" name="Check Box 102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000-0000A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29</xdr:row>
          <xdr:rowOff>19050</xdr:rowOff>
        </xdr:from>
        <xdr:to>
          <xdr:col>6</xdr:col>
          <xdr:colOff>200025</xdr:colOff>
          <xdr:row>29</xdr:row>
          <xdr:rowOff>238125</xdr:rowOff>
        </xdr:to>
        <xdr:sp macro="" textlink="">
          <xdr:nvSpPr>
            <xdr:cNvPr id="4014" name="Check Box 103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000-0000A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30</xdr:row>
          <xdr:rowOff>19050</xdr:rowOff>
        </xdr:from>
        <xdr:to>
          <xdr:col>6</xdr:col>
          <xdr:colOff>200025</xdr:colOff>
          <xdr:row>30</xdr:row>
          <xdr:rowOff>238125</xdr:rowOff>
        </xdr:to>
        <xdr:sp macro="" textlink="">
          <xdr:nvSpPr>
            <xdr:cNvPr id="4015" name="Check Box 104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000-0000A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31</xdr:row>
          <xdr:rowOff>19050</xdr:rowOff>
        </xdr:from>
        <xdr:to>
          <xdr:col>6</xdr:col>
          <xdr:colOff>200025</xdr:colOff>
          <xdr:row>31</xdr:row>
          <xdr:rowOff>238125</xdr:rowOff>
        </xdr:to>
        <xdr:sp macro="" textlink="">
          <xdr:nvSpPr>
            <xdr:cNvPr id="4016" name="Check Box 105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000-0000B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32</xdr:row>
          <xdr:rowOff>19050</xdr:rowOff>
        </xdr:from>
        <xdr:to>
          <xdr:col>6</xdr:col>
          <xdr:colOff>200025</xdr:colOff>
          <xdr:row>32</xdr:row>
          <xdr:rowOff>238125</xdr:rowOff>
        </xdr:to>
        <xdr:sp macro="" textlink="">
          <xdr:nvSpPr>
            <xdr:cNvPr id="4017" name="Check Box 106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000-0000B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33</xdr:row>
          <xdr:rowOff>19050</xdr:rowOff>
        </xdr:from>
        <xdr:to>
          <xdr:col>6</xdr:col>
          <xdr:colOff>200025</xdr:colOff>
          <xdr:row>33</xdr:row>
          <xdr:rowOff>238125</xdr:rowOff>
        </xdr:to>
        <xdr:sp macro="" textlink="">
          <xdr:nvSpPr>
            <xdr:cNvPr id="4018" name="Check Box 107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000-0000B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34</xdr:row>
          <xdr:rowOff>19050</xdr:rowOff>
        </xdr:from>
        <xdr:to>
          <xdr:col>6</xdr:col>
          <xdr:colOff>200025</xdr:colOff>
          <xdr:row>34</xdr:row>
          <xdr:rowOff>238125</xdr:rowOff>
        </xdr:to>
        <xdr:sp macro="" textlink="">
          <xdr:nvSpPr>
            <xdr:cNvPr id="4019" name="Check Box 108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000-0000B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35</xdr:row>
          <xdr:rowOff>19050</xdr:rowOff>
        </xdr:from>
        <xdr:to>
          <xdr:col>6</xdr:col>
          <xdr:colOff>200025</xdr:colOff>
          <xdr:row>35</xdr:row>
          <xdr:rowOff>238125</xdr:rowOff>
        </xdr:to>
        <xdr:sp macro="" textlink="">
          <xdr:nvSpPr>
            <xdr:cNvPr id="4020" name="Check Box 109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000-0000B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19050</xdr:rowOff>
        </xdr:from>
        <xdr:to>
          <xdr:col>7</xdr:col>
          <xdr:colOff>200025</xdr:colOff>
          <xdr:row>27</xdr:row>
          <xdr:rowOff>238125</xdr:rowOff>
        </xdr:to>
        <xdr:sp macro="" textlink="">
          <xdr:nvSpPr>
            <xdr:cNvPr id="4021" name="Check Box 115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000-0000B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19050</xdr:rowOff>
        </xdr:from>
        <xdr:to>
          <xdr:col>7</xdr:col>
          <xdr:colOff>200025</xdr:colOff>
          <xdr:row>28</xdr:row>
          <xdr:rowOff>238125</xdr:rowOff>
        </xdr:to>
        <xdr:sp macro="" textlink="">
          <xdr:nvSpPr>
            <xdr:cNvPr id="4022" name="Check Box 116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000-0000B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29</xdr:row>
          <xdr:rowOff>19050</xdr:rowOff>
        </xdr:from>
        <xdr:to>
          <xdr:col>7</xdr:col>
          <xdr:colOff>200025</xdr:colOff>
          <xdr:row>29</xdr:row>
          <xdr:rowOff>238125</xdr:rowOff>
        </xdr:to>
        <xdr:sp macro="" textlink="">
          <xdr:nvSpPr>
            <xdr:cNvPr id="4023" name="Check Box 117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000-0000B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30</xdr:row>
          <xdr:rowOff>19050</xdr:rowOff>
        </xdr:from>
        <xdr:to>
          <xdr:col>7</xdr:col>
          <xdr:colOff>200025</xdr:colOff>
          <xdr:row>30</xdr:row>
          <xdr:rowOff>238125</xdr:rowOff>
        </xdr:to>
        <xdr:sp macro="" textlink="">
          <xdr:nvSpPr>
            <xdr:cNvPr id="4024" name="Check Box 118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000-0000B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31</xdr:row>
          <xdr:rowOff>19050</xdr:rowOff>
        </xdr:from>
        <xdr:to>
          <xdr:col>7</xdr:col>
          <xdr:colOff>200025</xdr:colOff>
          <xdr:row>31</xdr:row>
          <xdr:rowOff>238125</xdr:rowOff>
        </xdr:to>
        <xdr:sp macro="" textlink="">
          <xdr:nvSpPr>
            <xdr:cNvPr id="4025" name="Check Box 119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000-0000B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32</xdr:row>
          <xdr:rowOff>19050</xdr:rowOff>
        </xdr:from>
        <xdr:to>
          <xdr:col>7</xdr:col>
          <xdr:colOff>200025</xdr:colOff>
          <xdr:row>32</xdr:row>
          <xdr:rowOff>238125</xdr:rowOff>
        </xdr:to>
        <xdr:sp macro="" textlink="">
          <xdr:nvSpPr>
            <xdr:cNvPr id="4026" name="Check Box 120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000-0000B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33</xdr:row>
          <xdr:rowOff>9525</xdr:rowOff>
        </xdr:from>
        <xdr:to>
          <xdr:col>7</xdr:col>
          <xdr:colOff>190500</xdr:colOff>
          <xdr:row>33</xdr:row>
          <xdr:rowOff>228600</xdr:rowOff>
        </xdr:to>
        <xdr:sp macro="" textlink="">
          <xdr:nvSpPr>
            <xdr:cNvPr id="4027" name="Check Box 121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000-0000B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34</xdr:row>
          <xdr:rowOff>19050</xdr:rowOff>
        </xdr:from>
        <xdr:to>
          <xdr:col>7</xdr:col>
          <xdr:colOff>200025</xdr:colOff>
          <xdr:row>34</xdr:row>
          <xdr:rowOff>238125</xdr:rowOff>
        </xdr:to>
        <xdr:sp macro="" textlink="">
          <xdr:nvSpPr>
            <xdr:cNvPr id="4028" name="Check Box 122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000-0000B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35</xdr:row>
          <xdr:rowOff>19050</xdr:rowOff>
        </xdr:from>
        <xdr:to>
          <xdr:col>7</xdr:col>
          <xdr:colOff>200025</xdr:colOff>
          <xdr:row>35</xdr:row>
          <xdr:rowOff>238125</xdr:rowOff>
        </xdr:to>
        <xdr:sp macro="" textlink="">
          <xdr:nvSpPr>
            <xdr:cNvPr id="4029" name="Check Box 123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000-0000B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19050</xdr:rowOff>
        </xdr:from>
        <xdr:to>
          <xdr:col>4</xdr:col>
          <xdr:colOff>200025</xdr:colOff>
          <xdr:row>22</xdr:row>
          <xdr:rowOff>238125</xdr:rowOff>
        </xdr:to>
        <xdr:sp macro="" textlink="">
          <xdr:nvSpPr>
            <xdr:cNvPr id="4030" name="Check Box 124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000-0000B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19050</xdr:rowOff>
        </xdr:from>
        <xdr:to>
          <xdr:col>4</xdr:col>
          <xdr:colOff>200025</xdr:colOff>
          <xdr:row>23</xdr:row>
          <xdr:rowOff>238125</xdr:rowOff>
        </xdr:to>
        <xdr:sp macro="" textlink="">
          <xdr:nvSpPr>
            <xdr:cNvPr id="4031" name="Check Box 125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000-0000B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24</xdr:row>
          <xdr:rowOff>19050</xdr:rowOff>
        </xdr:from>
        <xdr:to>
          <xdr:col>4</xdr:col>
          <xdr:colOff>200025</xdr:colOff>
          <xdr:row>24</xdr:row>
          <xdr:rowOff>238125</xdr:rowOff>
        </xdr:to>
        <xdr:sp macro="" textlink="">
          <xdr:nvSpPr>
            <xdr:cNvPr id="4032" name="Check Box 126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000-0000C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25</xdr:row>
          <xdr:rowOff>19050</xdr:rowOff>
        </xdr:from>
        <xdr:to>
          <xdr:col>4</xdr:col>
          <xdr:colOff>200025</xdr:colOff>
          <xdr:row>25</xdr:row>
          <xdr:rowOff>238125</xdr:rowOff>
        </xdr:to>
        <xdr:sp macro="" textlink="">
          <xdr:nvSpPr>
            <xdr:cNvPr id="4033" name="Check Box 127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000-0000C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26</xdr:row>
          <xdr:rowOff>19050</xdr:rowOff>
        </xdr:from>
        <xdr:to>
          <xdr:col>4</xdr:col>
          <xdr:colOff>200025</xdr:colOff>
          <xdr:row>26</xdr:row>
          <xdr:rowOff>238125</xdr:rowOff>
        </xdr:to>
        <xdr:sp macro="" textlink="">
          <xdr:nvSpPr>
            <xdr:cNvPr id="4034" name="Check Box 128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000-0000C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21</xdr:row>
          <xdr:rowOff>19050</xdr:rowOff>
        </xdr:from>
        <xdr:to>
          <xdr:col>6</xdr:col>
          <xdr:colOff>200025</xdr:colOff>
          <xdr:row>21</xdr:row>
          <xdr:rowOff>238125</xdr:rowOff>
        </xdr:to>
        <xdr:sp macro="" textlink="">
          <xdr:nvSpPr>
            <xdr:cNvPr id="4035" name="Check Box 170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000-0000C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22</xdr:row>
          <xdr:rowOff>19050</xdr:rowOff>
        </xdr:from>
        <xdr:to>
          <xdr:col>6</xdr:col>
          <xdr:colOff>200025</xdr:colOff>
          <xdr:row>22</xdr:row>
          <xdr:rowOff>238125</xdr:rowOff>
        </xdr:to>
        <xdr:sp macro="" textlink="">
          <xdr:nvSpPr>
            <xdr:cNvPr id="4036" name="Check Box 171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000-0000C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23</xdr:row>
          <xdr:rowOff>19050</xdr:rowOff>
        </xdr:from>
        <xdr:to>
          <xdr:col>6</xdr:col>
          <xdr:colOff>200025</xdr:colOff>
          <xdr:row>23</xdr:row>
          <xdr:rowOff>238125</xdr:rowOff>
        </xdr:to>
        <xdr:sp macro="" textlink="">
          <xdr:nvSpPr>
            <xdr:cNvPr id="4037" name="Check Box 172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000-0000C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24</xdr:row>
          <xdr:rowOff>19050</xdr:rowOff>
        </xdr:from>
        <xdr:to>
          <xdr:col>6</xdr:col>
          <xdr:colOff>200025</xdr:colOff>
          <xdr:row>24</xdr:row>
          <xdr:rowOff>238125</xdr:rowOff>
        </xdr:to>
        <xdr:sp macro="" textlink="">
          <xdr:nvSpPr>
            <xdr:cNvPr id="4038" name="Check Box 173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000-0000C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25</xdr:row>
          <xdr:rowOff>19050</xdr:rowOff>
        </xdr:from>
        <xdr:to>
          <xdr:col>6</xdr:col>
          <xdr:colOff>200025</xdr:colOff>
          <xdr:row>25</xdr:row>
          <xdr:rowOff>238125</xdr:rowOff>
        </xdr:to>
        <xdr:sp macro="" textlink="">
          <xdr:nvSpPr>
            <xdr:cNvPr id="4039" name="Check Box 174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000-0000C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26</xdr:row>
          <xdr:rowOff>19050</xdr:rowOff>
        </xdr:from>
        <xdr:to>
          <xdr:col>6</xdr:col>
          <xdr:colOff>200025</xdr:colOff>
          <xdr:row>26</xdr:row>
          <xdr:rowOff>238125</xdr:rowOff>
        </xdr:to>
        <xdr:sp macro="" textlink="">
          <xdr:nvSpPr>
            <xdr:cNvPr id="4040" name="Check Box 175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000-0000C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27</xdr:row>
          <xdr:rowOff>19050</xdr:rowOff>
        </xdr:from>
        <xdr:to>
          <xdr:col>6</xdr:col>
          <xdr:colOff>200025</xdr:colOff>
          <xdr:row>27</xdr:row>
          <xdr:rowOff>238125</xdr:rowOff>
        </xdr:to>
        <xdr:sp macro="" textlink="">
          <xdr:nvSpPr>
            <xdr:cNvPr id="4041" name="Check Box 176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000-0000C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19050</xdr:rowOff>
        </xdr:from>
        <xdr:to>
          <xdr:col>7</xdr:col>
          <xdr:colOff>200025</xdr:colOff>
          <xdr:row>21</xdr:row>
          <xdr:rowOff>238125</xdr:rowOff>
        </xdr:to>
        <xdr:sp macro="" textlink="">
          <xdr:nvSpPr>
            <xdr:cNvPr id="4042" name="Check Box 177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000-0000C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19050</xdr:rowOff>
        </xdr:from>
        <xdr:to>
          <xdr:col>7</xdr:col>
          <xdr:colOff>200025</xdr:colOff>
          <xdr:row>22</xdr:row>
          <xdr:rowOff>238125</xdr:rowOff>
        </xdr:to>
        <xdr:sp macro="" textlink="">
          <xdr:nvSpPr>
            <xdr:cNvPr id="4043" name="Check Box 178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000-0000C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23</xdr:row>
          <xdr:rowOff>19050</xdr:rowOff>
        </xdr:from>
        <xdr:to>
          <xdr:col>7</xdr:col>
          <xdr:colOff>200025</xdr:colOff>
          <xdr:row>23</xdr:row>
          <xdr:rowOff>238125</xdr:rowOff>
        </xdr:to>
        <xdr:sp macro="" textlink="">
          <xdr:nvSpPr>
            <xdr:cNvPr id="4044" name="Check Box 179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000-0000C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19050</xdr:rowOff>
        </xdr:from>
        <xdr:to>
          <xdr:col>7</xdr:col>
          <xdr:colOff>200025</xdr:colOff>
          <xdr:row>24</xdr:row>
          <xdr:rowOff>238125</xdr:rowOff>
        </xdr:to>
        <xdr:sp macro="" textlink="">
          <xdr:nvSpPr>
            <xdr:cNvPr id="4045" name="Check Box 180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000-0000C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19050</xdr:rowOff>
        </xdr:from>
        <xdr:to>
          <xdr:col>7</xdr:col>
          <xdr:colOff>200025</xdr:colOff>
          <xdr:row>25</xdr:row>
          <xdr:rowOff>238125</xdr:rowOff>
        </xdr:to>
        <xdr:sp macro="" textlink="">
          <xdr:nvSpPr>
            <xdr:cNvPr id="4046" name="Check Box 181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000-0000C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19050</xdr:rowOff>
        </xdr:from>
        <xdr:to>
          <xdr:col>7</xdr:col>
          <xdr:colOff>200025</xdr:colOff>
          <xdr:row>26</xdr:row>
          <xdr:rowOff>238125</xdr:rowOff>
        </xdr:to>
        <xdr:sp macro="" textlink="">
          <xdr:nvSpPr>
            <xdr:cNvPr id="4047" name="Check Box 182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000-0000C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20</xdr:row>
          <xdr:rowOff>9525</xdr:rowOff>
        </xdr:from>
        <xdr:to>
          <xdr:col>5</xdr:col>
          <xdr:colOff>200025</xdr:colOff>
          <xdr:row>20</xdr:row>
          <xdr:rowOff>228600</xdr:rowOff>
        </xdr:to>
        <xdr:sp macro="" textlink="">
          <xdr:nvSpPr>
            <xdr:cNvPr id="4048" name="Check Box 202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000-0000D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21</xdr:row>
          <xdr:rowOff>19050</xdr:rowOff>
        </xdr:from>
        <xdr:to>
          <xdr:col>5</xdr:col>
          <xdr:colOff>200025</xdr:colOff>
          <xdr:row>21</xdr:row>
          <xdr:rowOff>238125</xdr:rowOff>
        </xdr:to>
        <xdr:sp macro="" textlink="">
          <xdr:nvSpPr>
            <xdr:cNvPr id="4049" name="Check Box 203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000-0000D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22</xdr:row>
          <xdr:rowOff>19050</xdr:rowOff>
        </xdr:from>
        <xdr:to>
          <xdr:col>5</xdr:col>
          <xdr:colOff>200025</xdr:colOff>
          <xdr:row>22</xdr:row>
          <xdr:rowOff>238125</xdr:rowOff>
        </xdr:to>
        <xdr:sp macro="" textlink="">
          <xdr:nvSpPr>
            <xdr:cNvPr id="4050" name="Check Box 204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000-0000D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23</xdr:row>
          <xdr:rowOff>19050</xdr:rowOff>
        </xdr:from>
        <xdr:to>
          <xdr:col>5</xdr:col>
          <xdr:colOff>200025</xdr:colOff>
          <xdr:row>23</xdr:row>
          <xdr:rowOff>238125</xdr:rowOff>
        </xdr:to>
        <xdr:sp macro="" textlink="">
          <xdr:nvSpPr>
            <xdr:cNvPr id="4051" name="Check Box 205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000-0000D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24</xdr:row>
          <xdr:rowOff>19050</xdr:rowOff>
        </xdr:from>
        <xdr:to>
          <xdr:col>5</xdr:col>
          <xdr:colOff>200025</xdr:colOff>
          <xdr:row>24</xdr:row>
          <xdr:rowOff>238125</xdr:rowOff>
        </xdr:to>
        <xdr:sp macro="" textlink="">
          <xdr:nvSpPr>
            <xdr:cNvPr id="4052" name="Check Box 206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000-0000D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25</xdr:row>
          <xdr:rowOff>19050</xdr:rowOff>
        </xdr:from>
        <xdr:to>
          <xdr:col>5</xdr:col>
          <xdr:colOff>200025</xdr:colOff>
          <xdr:row>25</xdr:row>
          <xdr:rowOff>238125</xdr:rowOff>
        </xdr:to>
        <xdr:sp macro="" textlink="">
          <xdr:nvSpPr>
            <xdr:cNvPr id="4053" name="Check Box 207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000-0000D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26</xdr:row>
          <xdr:rowOff>19050</xdr:rowOff>
        </xdr:from>
        <xdr:to>
          <xdr:col>5</xdr:col>
          <xdr:colOff>200025</xdr:colOff>
          <xdr:row>26</xdr:row>
          <xdr:rowOff>238125</xdr:rowOff>
        </xdr:to>
        <xdr:sp macro="" textlink="">
          <xdr:nvSpPr>
            <xdr:cNvPr id="4054" name="Check Box 208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000-0000D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27</xdr:row>
          <xdr:rowOff>19050</xdr:rowOff>
        </xdr:from>
        <xdr:to>
          <xdr:col>5</xdr:col>
          <xdr:colOff>200025</xdr:colOff>
          <xdr:row>27</xdr:row>
          <xdr:rowOff>238125</xdr:rowOff>
        </xdr:to>
        <xdr:sp macro="" textlink="">
          <xdr:nvSpPr>
            <xdr:cNvPr id="4055" name="Check Box 209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000-0000D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28</xdr:row>
          <xdr:rowOff>19050</xdr:rowOff>
        </xdr:from>
        <xdr:to>
          <xdr:col>5</xdr:col>
          <xdr:colOff>200025</xdr:colOff>
          <xdr:row>28</xdr:row>
          <xdr:rowOff>238125</xdr:rowOff>
        </xdr:to>
        <xdr:sp macro="" textlink="">
          <xdr:nvSpPr>
            <xdr:cNvPr id="4056" name="Check Box 210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000-0000D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29</xdr:row>
          <xdr:rowOff>19050</xdr:rowOff>
        </xdr:from>
        <xdr:to>
          <xdr:col>5</xdr:col>
          <xdr:colOff>200025</xdr:colOff>
          <xdr:row>29</xdr:row>
          <xdr:rowOff>238125</xdr:rowOff>
        </xdr:to>
        <xdr:sp macro="" textlink="">
          <xdr:nvSpPr>
            <xdr:cNvPr id="4057" name="Check Box 211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000-0000D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30</xdr:row>
          <xdr:rowOff>19050</xdr:rowOff>
        </xdr:from>
        <xdr:to>
          <xdr:col>5</xdr:col>
          <xdr:colOff>200025</xdr:colOff>
          <xdr:row>30</xdr:row>
          <xdr:rowOff>238125</xdr:rowOff>
        </xdr:to>
        <xdr:sp macro="" textlink="">
          <xdr:nvSpPr>
            <xdr:cNvPr id="4058" name="Check Box 212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000-0000D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19050</xdr:rowOff>
        </xdr:from>
        <xdr:to>
          <xdr:col>5</xdr:col>
          <xdr:colOff>200025</xdr:colOff>
          <xdr:row>31</xdr:row>
          <xdr:rowOff>238125</xdr:rowOff>
        </xdr:to>
        <xdr:sp macro="" textlink="">
          <xdr:nvSpPr>
            <xdr:cNvPr id="4059" name="Check Box 213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000-0000D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32</xdr:row>
          <xdr:rowOff>19050</xdr:rowOff>
        </xdr:from>
        <xdr:to>
          <xdr:col>5</xdr:col>
          <xdr:colOff>200025</xdr:colOff>
          <xdr:row>32</xdr:row>
          <xdr:rowOff>238125</xdr:rowOff>
        </xdr:to>
        <xdr:sp macro="" textlink="">
          <xdr:nvSpPr>
            <xdr:cNvPr id="4060" name="Check Box 214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000-0000D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33</xdr:row>
          <xdr:rowOff>19050</xdr:rowOff>
        </xdr:from>
        <xdr:to>
          <xdr:col>5</xdr:col>
          <xdr:colOff>200025</xdr:colOff>
          <xdr:row>33</xdr:row>
          <xdr:rowOff>238125</xdr:rowOff>
        </xdr:to>
        <xdr:sp macro="" textlink="">
          <xdr:nvSpPr>
            <xdr:cNvPr id="4061" name="Check Box 215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000-0000D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34</xdr:row>
          <xdr:rowOff>19050</xdr:rowOff>
        </xdr:from>
        <xdr:to>
          <xdr:col>5</xdr:col>
          <xdr:colOff>200025</xdr:colOff>
          <xdr:row>34</xdr:row>
          <xdr:rowOff>238125</xdr:rowOff>
        </xdr:to>
        <xdr:sp macro="" textlink="">
          <xdr:nvSpPr>
            <xdr:cNvPr id="4062" name="Check Box 216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000-0000D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35</xdr:row>
          <xdr:rowOff>19050</xdr:rowOff>
        </xdr:from>
        <xdr:to>
          <xdr:col>5</xdr:col>
          <xdr:colOff>200025</xdr:colOff>
          <xdr:row>35</xdr:row>
          <xdr:rowOff>238125</xdr:rowOff>
        </xdr:to>
        <xdr:sp macro="" textlink="">
          <xdr:nvSpPr>
            <xdr:cNvPr id="4063" name="Check Box 218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000-0000D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68" Type="http://schemas.openxmlformats.org/officeDocument/2006/relationships/comments" Target="../comments1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50"/>
  <sheetViews>
    <sheetView tabSelected="1" zoomScale="75" zoomScaleNormal="75" workbookViewId="0">
      <selection activeCell="E24" sqref="E24"/>
    </sheetView>
  </sheetViews>
  <sheetFormatPr defaultRowHeight="20.25" customHeight="1" x14ac:dyDescent="0.3"/>
  <cols>
    <col min="1" max="1" width="18.28515625" style="1" bestFit="1" customWidth="1"/>
    <col min="2" max="2" width="10.7109375" style="1" bestFit="1" customWidth="1"/>
    <col min="3" max="3" width="11.42578125" style="1" bestFit="1" customWidth="1"/>
    <col min="4" max="4" width="10.7109375" style="1" bestFit="1" customWidth="1"/>
    <col min="5" max="7" width="3.42578125" style="1" customWidth="1"/>
    <col min="8" max="8" width="3.28515625" style="1" customWidth="1"/>
    <col min="9" max="9" width="10.5703125" style="2" customWidth="1"/>
    <col min="10" max="10" width="13.42578125" style="1" bestFit="1" customWidth="1"/>
    <col min="11" max="11" width="7.42578125" style="1" bestFit="1" customWidth="1"/>
    <col min="12" max="12" width="9.42578125" style="1" bestFit="1" customWidth="1"/>
    <col min="13" max="13" width="15.42578125" style="1" bestFit="1" customWidth="1"/>
    <col min="14" max="14" width="9.140625" style="1"/>
    <col min="15" max="15" width="11.140625" style="1" bestFit="1" customWidth="1"/>
    <col min="16" max="16" width="12.42578125" style="1" bestFit="1" customWidth="1"/>
    <col min="17" max="17" width="12" style="1" bestFit="1" customWidth="1"/>
    <col min="18" max="18" width="6.85546875" style="1" bestFit="1" customWidth="1"/>
    <col min="19" max="19" width="6.7109375" style="1" customWidth="1"/>
    <col min="20" max="20" width="9.140625" style="1"/>
    <col min="21" max="21" width="6.28515625" style="1" customWidth="1"/>
    <col min="22" max="22" width="9.140625" style="1"/>
    <col min="23" max="23" width="20.140625" style="1" customWidth="1"/>
    <col min="24" max="24" width="20.7109375" style="1" customWidth="1"/>
    <col min="25" max="16384" width="9.140625" style="1"/>
  </cols>
  <sheetData>
    <row r="1" spans="1:24" ht="20.25" customHeight="1" x14ac:dyDescent="0.3">
      <c r="A1" s="13" t="s">
        <v>0</v>
      </c>
      <c r="B1" s="42" t="s">
        <v>51</v>
      </c>
      <c r="C1" s="42"/>
      <c r="D1" s="42"/>
      <c r="E1" s="12"/>
      <c r="F1" s="12"/>
      <c r="G1" s="12"/>
      <c r="H1" s="11"/>
      <c r="I1" s="12"/>
      <c r="J1" s="13" t="s">
        <v>15</v>
      </c>
      <c r="K1" s="14">
        <v>1</v>
      </c>
      <c r="L1" s="13" t="s">
        <v>16</v>
      </c>
      <c r="M1" s="14">
        <v>0</v>
      </c>
      <c r="O1" s="35" t="s">
        <v>20</v>
      </c>
      <c r="P1" s="35"/>
      <c r="Q1" s="35"/>
      <c r="X1" s="1" t="s">
        <v>110</v>
      </c>
    </row>
    <row r="2" spans="1:24" ht="20.25" customHeight="1" x14ac:dyDescent="0.3">
      <c r="A2" s="13" t="s">
        <v>1</v>
      </c>
      <c r="B2" s="42" t="s">
        <v>52</v>
      </c>
      <c r="C2" s="42"/>
      <c r="D2" s="42"/>
      <c r="E2" s="34" t="s">
        <v>23</v>
      </c>
      <c r="F2" s="34"/>
      <c r="G2" s="34"/>
      <c r="H2" s="34"/>
      <c r="I2" s="12"/>
      <c r="J2" s="13" t="s">
        <v>14</v>
      </c>
      <c r="K2" s="14"/>
      <c r="L2" s="13" t="s">
        <v>17</v>
      </c>
      <c r="M2" s="14"/>
      <c r="O2" s="15" t="s">
        <v>29</v>
      </c>
      <c r="P2" s="15" t="s">
        <v>8</v>
      </c>
      <c r="Q2" s="15" t="s">
        <v>21</v>
      </c>
      <c r="T2" s="50" t="s">
        <v>108</v>
      </c>
      <c r="U2" s="50"/>
      <c r="V2" s="50"/>
      <c r="X2" s="1" t="s">
        <v>54</v>
      </c>
    </row>
    <row r="3" spans="1:24" ht="20.25" customHeight="1" x14ac:dyDescent="0.3">
      <c r="A3" s="13" t="s">
        <v>2</v>
      </c>
      <c r="B3" s="42" t="s">
        <v>53</v>
      </c>
      <c r="C3" s="42"/>
      <c r="D3" s="42"/>
      <c r="O3" s="6" t="b">
        <v>1</v>
      </c>
      <c r="P3" s="6" t="s">
        <v>30</v>
      </c>
      <c r="Q3" s="6" t="s">
        <v>38</v>
      </c>
      <c r="T3" s="47" t="s">
        <v>113</v>
      </c>
      <c r="U3" s="47"/>
      <c r="V3" s="47"/>
    </row>
    <row r="4" spans="1:24" ht="20.25" customHeight="1" x14ac:dyDescent="0.3">
      <c r="A4" s="13" t="s">
        <v>3</v>
      </c>
      <c r="B4" s="42" t="s">
        <v>54</v>
      </c>
      <c r="C4" s="42"/>
      <c r="D4" s="42"/>
      <c r="E4" s="34" t="s">
        <v>22</v>
      </c>
      <c r="F4" s="34"/>
      <c r="G4" s="34"/>
      <c r="H4" s="34"/>
      <c r="I4" s="12"/>
      <c r="J4" s="9" t="s">
        <v>11</v>
      </c>
      <c r="K4" s="9" t="s">
        <v>12</v>
      </c>
      <c r="L4" s="9" t="s">
        <v>13</v>
      </c>
      <c r="O4" s="6" t="b">
        <v>1</v>
      </c>
      <c r="P4" s="6" t="s">
        <v>31</v>
      </c>
      <c r="Q4" s="6" t="s">
        <v>39</v>
      </c>
      <c r="T4" s="47" t="s">
        <v>109</v>
      </c>
      <c r="U4" s="47"/>
      <c r="V4" s="47"/>
      <c r="X4" s="1" t="s">
        <v>69</v>
      </c>
    </row>
    <row r="5" spans="1:24" ht="20.25" customHeight="1" x14ac:dyDescent="0.3">
      <c r="A5" s="13" t="s">
        <v>4</v>
      </c>
      <c r="B5" s="42" t="s">
        <v>55</v>
      </c>
      <c r="C5" s="42"/>
      <c r="D5" s="42"/>
      <c r="J5" s="6">
        <v>2</v>
      </c>
      <c r="K5" s="6">
        <v>7</v>
      </c>
      <c r="L5" s="6">
        <v>460</v>
      </c>
      <c r="N5" s="16"/>
      <c r="O5" s="6" t="b">
        <v>1</v>
      </c>
      <c r="P5" s="6" t="s">
        <v>32</v>
      </c>
      <c r="Q5" s="6" t="s">
        <v>40</v>
      </c>
      <c r="T5" s="47" t="s">
        <v>110</v>
      </c>
      <c r="U5" s="47"/>
      <c r="V5" s="47"/>
    </row>
    <row r="6" spans="1:24" ht="20.25" customHeight="1" x14ac:dyDescent="0.3">
      <c r="N6" s="16"/>
      <c r="O6" s="6" t="b">
        <v>0</v>
      </c>
      <c r="P6" s="6" t="s">
        <v>33</v>
      </c>
      <c r="Q6" s="6" t="s">
        <v>41</v>
      </c>
      <c r="T6" s="47" t="s">
        <v>54</v>
      </c>
      <c r="U6" s="47"/>
      <c r="V6" s="47"/>
      <c r="X6" s="1" t="s">
        <v>133</v>
      </c>
    </row>
    <row r="7" spans="1:24" ht="20.25" customHeight="1" x14ac:dyDescent="0.3">
      <c r="N7" s="11"/>
      <c r="O7" s="6" t="b">
        <v>1</v>
      </c>
      <c r="P7" s="6" t="s">
        <v>34</v>
      </c>
      <c r="Q7" s="6" t="s">
        <v>42</v>
      </c>
      <c r="T7" s="47" t="s">
        <v>111</v>
      </c>
      <c r="U7" s="47"/>
      <c r="V7" s="47"/>
    </row>
    <row r="8" spans="1:24" ht="20.25" customHeight="1" x14ac:dyDescent="0.3">
      <c r="N8" s="11"/>
      <c r="O8" s="6" t="b">
        <v>0</v>
      </c>
      <c r="P8" s="6" t="s">
        <v>35</v>
      </c>
      <c r="Q8" s="6"/>
      <c r="T8" s="47" t="s">
        <v>112</v>
      </c>
      <c r="U8" s="47"/>
      <c r="V8" s="47"/>
    </row>
    <row r="9" spans="1:24" ht="20.25" customHeight="1" x14ac:dyDescent="0.3">
      <c r="A9" s="11"/>
      <c r="B9" s="35" t="s">
        <v>18</v>
      </c>
      <c r="C9" s="35"/>
      <c r="D9" s="35"/>
      <c r="E9" s="15"/>
      <c r="F9" s="15"/>
      <c r="G9" s="15"/>
      <c r="H9" s="16"/>
      <c r="I9" s="15"/>
      <c r="J9" s="35" t="s">
        <v>19</v>
      </c>
      <c r="K9" s="35"/>
      <c r="L9" s="35"/>
      <c r="M9" s="35"/>
      <c r="N9" s="11"/>
      <c r="O9" s="6" t="b">
        <v>0</v>
      </c>
      <c r="P9" s="6" t="s">
        <v>36</v>
      </c>
      <c r="Q9" s="6" t="s">
        <v>43</v>
      </c>
      <c r="T9" s="51"/>
      <c r="U9" s="51"/>
      <c r="V9" s="51"/>
    </row>
    <row r="10" spans="1:24" ht="20.25" customHeight="1" x14ac:dyDescent="0.3">
      <c r="A10" s="11"/>
      <c r="B10" s="19" t="s">
        <v>5</v>
      </c>
      <c r="C10" s="9" t="s">
        <v>6</v>
      </c>
      <c r="D10" s="9" t="s">
        <v>7</v>
      </c>
      <c r="E10" s="15"/>
      <c r="F10" s="15"/>
      <c r="G10" s="15"/>
      <c r="H10" s="15"/>
      <c r="I10" s="15"/>
      <c r="J10" s="9" t="s">
        <v>8</v>
      </c>
      <c r="K10" s="9" t="s">
        <v>7</v>
      </c>
      <c r="L10" s="9" t="s">
        <v>9</v>
      </c>
      <c r="M10" s="9" t="s">
        <v>10</v>
      </c>
      <c r="N10" s="11"/>
      <c r="O10" s="6" t="b">
        <v>1</v>
      </c>
      <c r="P10" s="6" t="s">
        <v>37</v>
      </c>
      <c r="Q10" s="6" t="s">
        <v>44</v>
      </c>
      <c r="T10" s="50" t="s">
        <v>114</v>
      </c>
      <c r="U10" s="50"/>
      <c r="V10" s="50"/>
    </row>
    <row r="11" spans="1:24" ht="20.25" customHeight="1" x14ac:dyDescent="0.3">
      <c r="A11" s="11"/>
      <c r="B11" s="6">
        <f>IF(D11="","",ROUNDDOWN((D11-10)/2,0))</f>
        <v>1</v>
      </c>
      <c r="C11" s="6" t="s">
        <v>22</v>
      </c>
      <c r="D11" s="6">
        <f>10+IF(OR(Government=Feudalism,Government=Thaumocracy,Government=Yeomanry),2,0)+IF(Government_boost=Culture,2,0)+IF(Charter_boost=Culture,2,0)+IF(Charter=Expansion,2,0)+IF(Charter=Conquest,-2,0)+IF(OR(Heartland=Forest,Heartland=Swamp),2,0)</f>
        <v>12</v>
      </c>
      <c r="E11" s="12"/>
      <c r="F11" s="12"/>
      <c r="G11" s="12"/>
      <c r="H11" s="11"/>
      <c r="I11" s="12"/>
      <c r="J11" s="17" t="s">
        <v>45</v>
      </c>
      <c r="K11" s="6">
        <v>0</v>
      </c>
      <c r="L11" s="6"/>
      <c r="M11" s="6">
        <v>10</v>
      </c>
      <c r="N11" s="11"/>
      <c r="T11" s="47" t="s">
        <v>115</v>
      </c>
      <c r="U11" s="47"/>
      <c r="V11" s="47"/>
    </row>
    <row r="12" spans="1:24" ht="20.25" customHeight="1" x14ac:dyDescent="0.3">
      <c r="A12" s="11"/>
      <c r="B12" s="6">
        <f t="shared" ref="B12:B14" si="0">IF(D12="","",ROUNDDOWN((D12-10)/2,0))</f>
        <v>0</v>
      </c>
      <c r="C12" s="6" t="s">
        <v>23</v>
      </c>
      <c r="D12" s="6">
        <f>10+IF( OR(Government=Despotism,Government=Oligarchy,Government=Thaumocracy),2,0)+IF(Government_boost=Economy,2,0)+IF(Charter_boost=Economy,2,0)+IF(Charter=Grant,2,0)+IF(Charter=Exploration,-2,0)+IF(OR(Heartland=Lake,Heartland=River),2,0)</f>
        <v>10</v>
      </c>
      <c r="E12" s="12"/>
      <c r="F12" s="12"/>
      <c r="G12" s="12"/>
      <c r="H12" s="11"/>
      <c r="I12" s="12"/>
      <c r="J12" s="17" t="s">
        <v>46</v>
      </c>
      <c r="K12" s="6">
        <v>0</v>
      </c>
      <c r="L12" s="6"/>
      <c r="M12" s="6">
        <v>10</v>
      </c>
      <c r="N12" s="11"/>
      <c r="O12" s="36" t="s">
        <v>82</v>
      </c>
      <c r="P12" s="37"/>
      <c r="Q12" s="38"/>
      <c r="T12" s="47" t="s">
        <v>116</v>
      </c>
      <c r="U12" s="47"/>
      <c r="V12" s="47"/>
    </row>
    <row r="13" spans="1:24" ht="20.25" customHeight="1" x14ac:dyDescent="0.3">
      <c r="A13" s="11"/>
      <c r="B13" s="6">
        <f t="shared" si="0"/>
        <v>1</v>
      </c>
      <c r="C13" s="6" t="s">
        <v>24</v>
      </c>
      <c r="D13" s="6">
        <f>10+IF( OR(Government=Yeomanry,Government=Oligarchy,Government=Republic),2,0)+IF(Government_boost=Loyalty,2,0)+IF(Charter_boost=Loyalty,2,0)+IF(Charter=Conquest,2,0)+IF(Charter=Grant,-2,0)+IF(OR(Heartland=Plain,Heartland=Hill),2,0)</f>
        <v>12</v>
      </c>
      <c r="E13" s="12"/>
      <c r="F13" s="12"/>
      <c r="G13" s="12"/>
      <c r="H13" s="11"/>
      <c r="I13" s="12"/>
      <c r="J13" s="17" t="s">
        <v>47</v>
      </c>
      <c r="K13" s="6">
        <v>0</v>
      </c>
      <c r="L13" s="6"/>
      <c r="M13" s="6">
        <v>10</v>
      </c>
      <c r="N13" s="11"/>
      <c r="O13" s="39" t="s">
        <v>90</v>
      </c>
      <c r="P13" s="40"/>
      <c r="Q13" s="41"/>
      <c r="T13" s="47" t="s">
        <v>117</v>
      </c>
      <c r="U13" s="47"/>
      <c r="V13" s="47"/>
    </row>
    <row r="14" spans="1:24" ht="20.25" customHeight="1" x14ac:dyDescent="0.3">
      <c r="A14" s="11"/>
      <c r="B14" s="6">
        <f t="shared" si="0"/>
        <v>3</v>
      </c>
      <c r="C14" s="6" t="s">
        <v>25</v>
      </c>
      <c r="D14" s="6">
        <f>10+IF( OR(Government=Despotism,Government=Feudalism,Government=Republic),2,0)+IF(Government_boost=Stability,2,0)+IF(Charter_boost=Stability,2,0)+IF(Charter=Exploration,2,0)+IF(Charter=Expansion,-2,0)+IF(OR(Heartland=Mountain,Heartland=Ruins),2,0)</f>
        <v>16</v>
      </c>
      <c r="E14" s="12"/>
      <c r="F14" s="12"/>
      <c r="G14" s="12"/>
      <c r="H14" s="11"/>
      <c r="I14" s="12"/>
      <c r="J14" s="17" t="s">
        <v>48</v>
      </c>
      <c r="K14" s="6">
        <v>0</v>
      </c>
      <c r="L14" s="6"/>
      <c r="M14" s="6">
        <v>10</v>
      </c>
      <c r="N14" s="11"/>
      <c r="O14" s="39"/>
      <c r="P14" s="40"/>
      <c r="Q14" s="41"/>
      <c r="T14" s="47" t="s">
        <v>118</v>
      </c>
      <c r="U14" s="47"/>
      <c r="V14" s="47"/>
    </row>
    <row r="15" spans="1:24" ht="20.25" customHeight="1" x14ac:dyDescent="0.3">
      <c r="A15" s="11"/>
      <c r="B15" s="11"/>
      <c r="C15" s="11"/>
      <c r="D15" s="11"/>
      <c r="E15" s="11"/>
      <c r="F15" s="11"/>
      <c r="G15" s="11"/>
      <c r="H15" s="11"/>
      <c r="I15" s="12"/>
      <c r="J15" s="11"/>
      <c r="K15" s="11"/>
      <c r="L15" s="11"/>
      <c r="M15" s="11"/>
      <c r="O15" s="39"/>
      <c r="P15" s="40"/>
      <c r="Q15" s="41"/>
      <c r="T15" s="47" t="s">
        <v>52</v>
      </c>
      <c r="U15" s="47"/>
      <c r="V15" s="47"/>
    </row>
    <row r="16" spans="1:24" ht="20.25" customHeight="1" x14ac:dyDescent="0.3">
      <c r="A16" s="11"/>
      <c r="B16" s="39" t="s">
        <v>26</v>
      </c>
      <c r="C16" s="40"/>
      <c r="D16" s="41"/>
      <c r="E16" s="12"/>
      <c r="F16" s="12"/>
      <c r="G16" s="12"/>
      <c r="H16" s="11"/>
      <c r="I16" s="12"/>
      <c r="J16" s="39" t="s">
        <v>49</v>
      </c>
      <c r="K16" s="41"/>
      <c r="L16" s="6">
        <v>-1</v>
      </c>
      <c r="M16" s="11"/>
      <c r="O16" s="39"/>
      <c r="P16" s="40"/>
      <c r="Q16" s="41"/>
      <c r="T16" s="51"/>
      <c r="U16" s="51"/>
      <c r="V16" s="51"/>
    </row>
    <row r="17" spans="1:22" ht="20.25" customHeight="1" x14ac:dyDescent="0.3">
      <c r="A17" s="11"/>
      <c r="B17" s="17" t="s">
        <v>28</v>
      </c>
      <c r="C17" s="6" t="s">
        <v>27</v>
      </c>
      <c r="D17" s="6" t="s">
        <v>11</v>
      </c>
      <c r="E17" s="12"/>
      <c r="F17" s="12"/>
      <c r="G17" s="12"/>
      <c r="H17" s="11"/>
      <c r="I17" s="12"/>
      <c r="J17" s="39" t="s">
        <v>9</v>
      </c>
      <c r="K17" s="41"/>
      <c r="L17" s="6">
        <f>ABS(ROUNDDOWN(L16/5,0))</f>
        <v>0</v>
      </c>
      <c r="M17" s="11"/>
      <c r="O17" s="39"/>
      <c r="P17" s="40"/>
      <c r="Q17" s="41"/>
      <c r="T17" s="50" t="s">
        <v>2</v>
      </c>
      <c r="U17" s="50"/>
      <c r="V17" s="50"/>
    </row>
    <row r="18" spans="1:22" ht="20.25" customHeight="1" x14ac:dyDescent="0.3">
      <c r="A18" s="12"/>
      <c r="B18" s="6">
        <f>C18+D18</f>
        <v>0</v>
      </c>
      <c r="C18" s="6"/>
      <c r="D18" s="6">
        <f>IF(Size&lt;10,0,IF(Size&lt;25,1,IF(Size&lt;50,2,IF(Size&lt;100,3,4))))</f>
        <v>0</v>
      </c>
      <c r="E18" s="12"/>
      <c r="F18" s="12"/>
      <c r="G18" s="12"/>
      <c r="H18" s="11"/>
      <c r="I18" s="12"/>
      <c r="J18" s="39" t="s">
        <v>50</v>
      </c>
      <c r="K18" s="41"/>
      <c r="L18" s="6">
        <v>1</v>
      </c>
      <c r="M18" s="11"/>
      <c r="O18" s="39"/>
      <c r="P18" s="40"/>
      <c r="Q18" s="41"/>
      <c r="T18" s="47" t="s">
        <v>119</v>
      </c>
      <c r="U18" s="47"/>
      <c r="V18" s="47"/>
    </row>
    <row r="19" spans="1:22" ht="20.25" customHeight="1" x14ac:dyDescent="0.3">
      <c r="A19" s="2"/>
      <c r="B19" s="2"/>
      <c r="C19" s="2"/>
      <c r="D19" s="2"/>
      <c r="E19" s="2"/>
      <c r="F19" s="2"/>
      <c r="G19" s="2"/>
      <c r="I19" s="48" t="s">
        <v>127</v>
      </c>
      <c r="O19" s="39"/>
      <c r="P19" s="40"/>
      <c r="Q19" s="41"/>
      <c r="T19" s="47" t="s">
        <v>120</v>
      </c>
      <c r="U19" s="47"/>
      <c r="V19" s="47"/>
    </row>
    <row r="20" spans="1:22" ht="20.25" customHeight="1" x14ac:dyDescent="0.3">
      <c r="A20" s="2"/>
      <c r="B20" s="4" t="s">
        <v>28</v>
      </c>
      <c r="C20" s="4" t="s">
        <v>57</v>
      </c>
      <c r="D20" s="4" t="s">
        <v>58</v>
      </c>
      <c r="E20" s="4" t="s">
        <v>63</v>
      </c>
      <c r="F20" s="4" t="s">
        <v>64</v>
      </c>
      <c r="G20" s="4" t="s">
        <v>65</v>
      </c>
      <c r="H20" s="4" t="s">
        <v>66</v>
      </c>
      <c r="I20" s="49"/>
      <c r="J20" s="4" t="s">
        <v>59</v>
      </c>
      <c r="K20" s="4" t="s">
        <v>60</v>
      </c>
      <c r="L20" s="4" t="s">
        <v>61</v>
      </c>
      <c r="M20" s="4" t="s">
        <v>62</v>
      </c>
      <c r="O20" s="36" t="s">
        <v>126</v>
      </c>
      <c r="P20" s="37"/>
      <c r="Q20" s="38"/>
      <c r="T20" s="47" t="s">
        <v>121</v>
      </c>
      <c r="U20" s="47"/>
      <c r="V20" s="47"/>
    </row>
    <row r="21" spans="1:22" ht="20.25" customHeight="1" x14ac:dyDescent="0.3">
      <c r="A21" s="3" t="s">
        <v>56</v>
      </c>
      <c r="B21" s="20">
        <f>C21+D21+I21+J21+K21+L21+M21</f>
        <v>4</v>
      </c>
      <c r="C21" s="20">
        <f>Stability_Modifier</f>
        <v>3</v>
      </c>
      <c r="D21" s="20">
        <f t="shared" ref="D21:D36" si="1">IF(OR(E21,F21,G21,H21),Level+E21*2+F21*2+G21*2+H21*2,0)</f>
        <v>0</v>
      </c>
      <c r="E21" s="21" t="b">
        <v>0</v>
      </c>
      <c r="F21" s="21" t="b">
        <v>0</v>
      </c>
      <c r="G21" s="21" t="b">
        <v>0</v>
      </c>
      <c r="H21" s="22" t="b">
        <v>0</v>
      </c>
      <c r="I21" s="20">
        <f>IF(OR(Warden_invested=TRUE,General_invested=TRUE),1,0)*ROUNDDOWN((Level+8)/8,0)</f>
        <v>1</v>
      </c>
      <c r="J21" s="20"/>
      <c r="K21" s="20"/>
      <c r="L21" s="20"/>
      <c r="M21" s="20"/>
      <c r="O21" s="39" t="s">
        <v>132</v>
      </c>
      <c r="P21" s="40"/>
      <c r="Q21" s="41"/>
      <c r="T21" s="47" t="s">
        <v>122</v>
      </c>
      <c r="U21" s="47"/>
      <c r="V21" s="47"/>
    </row>
    <row r="22" spans="1:22" ht="20.25" customHeight="1" x14ac:dyDescent="0.3">
      <c r="A22" s="3" t="s">
        <v>67</v>
      </c>
      <c r="B22" s="6">
        <f t="shared" ref="B22:B36" si="2">C22+D22+I22+J22+K22+L22+M22</f>
        <v>5</v>
      </c>
      <c r="C22" s="6">
        <f>Culture_Modifier</f>
        <v>1</v>
      </c>
      <c r="D22" s="6">
        <f t="shared" si="1"/>
        <v>3</v>
      </c>
      <c r="E22" s="9" t="b">
        <v>1</v>
      </c>
      <c r="F22" s="9" t="b">
        <v>0</v>
      </c>
      <c r="G22" s="9" t="b">
        <v>0</v>
      </c>
      <c r="H22" s="6" t="b">
        <v>0</v>
      </c>
      <c r="I22" s="6">
        <f>IF(OR(Councelor_invested=TRUE,Magister_invested=TRUE),1,0)*ROUNDDOWN((Level+8)/8,0)</f>
        <v>1</v>
      </c>
      <c r="J22" s="6"/>
      <c r="K22" s="6"/>
      <c r="L22" s="6"/>
      <c r="M22" s="6"/>
      <c r="O22" s="11"/>
      <c r="P22" s="12"/>
      <c r="Q22" s="11"/>
      <c r="T22" s="47" t="s">
        <v>123</v>
      </c>
      <c r="U22" s="47"/>
      <c r="V22" s="47"/>
    </row>
    <row r="23" spans="1:22" ht="20.25" customHeight="1" x14ac:dyDescent="0.3">
      <c r="A23" s="3" t="s">
        <v>68</v>
      </c>
      <c r="B23" s="20">
        <f t="shared" si="2"/>
        <v>1</v>
      </c>
      <c r="C23" s="20">
        <f>Economy_Modifier</f>
        <v>0</v>
      </c>
      <c r="D23" s="20">
        <f t="shared" si="1"/>
        <v>0</v>
      </c>
      <c r="E23" s="21" t="b">
        <v>0</v>
      </c>
      <c r="F23" s="21" t="b">
        <v>0</v>
      </c>
      <c r="G23" s="21" t="b">
        <v>0</v>
      </c>
      <c r="H23" s="22" t="b">
        <v>0</v>
      </c>
      <c r="I23" s="20">
        <f>IF(OR(Warden_invested=TRUE,General_invested=TRUE),1,0)*ROUNDDOWN((Level+8)/8,0)</f>
        <v>1</v>
      </c>
      <c r="J23" s="20"/>
      <c r="K23" s="20"/>
      <c r="L23" s="20"/>
      <c r="M23" s="20"/>
      <c r="O23" s="36" t="s">
        <v>81</v>
      </c>
      <c r="P23" s="37"/>
      <c r="Q23" s="38"/>
      <c r="T23" s="47" t="s">
        <v>124</v>
      </c>
      <c r="U23" s="47"/>
      <c r="V23" s="47"/>
    </row>
    <row r="24" spans="1:22" ht="20.25" customHeight="1" x14ac:dyDescent="0.3">
      <c r="A24" s="3" t="s">
        <v>69</v>
      </c>
      <c r="B24" s="6">
        <f t="shared" si="2"/>
        <v>7</v>
      </c>
      <c r="C24" s="6">
        <f>Stability_Modifier</f>
        <v>3</v>
      </c>
      <c r="D24" s="6">
        <f t="shared" si="1"/>
        <v>3</v>
      </c>
      <c r="E24" s="9" t="b">
        <v>1</v>
      </c>
      <c r="F24" s="9" t="b">
        <v>0</v>
      </c>
      <c r="G24" s="9" t="b">
        <v>0</v>
      </c>
      <c r="H24" s="6" t="b">
        <v>0</v>
      </c>
      <c r="I24" s="6">
        <f>IF(OR(Warden_invested=TRUE,General_invested=TRUE),1,0)*ROUNDDOWN((Level+8)/8,0)</f>
        <v>1</v>
      </c>
      <c r="J24" s="6"/>
      <c r="K24" s="6"/>
      <c r="L24" s="6"/>
      <c r="M24" s="6"/>
      <c r="O24" s="39"/>
      <c r="P24" s="40"/>
      <c r="Q24" s="41"/>
      <c r="T24" s="47" t="s">
        <v>125</v>
      </c>
      <c r="U24" s="47"/>
      <c r="V24" s="47"/>
    </row>
    <row r="25" spans="1:22" ht="20.25" customHeight="1" x14ac:dyDescent="0.3">
      <c r="A25" s="3" t="s">
        <v>70</v>
      </c>
      <c r="B25" s="20">
        <f t="shared" si="2"/>
        <v>7</v>
      </c>
      <c r="C25" s="20">
        <f>Stability_Modifier</f>
        <v>3</v>
      </c>
      <c r="D25" s="20">
        <f t="shared" si="1"/>
        <v>3</v>
      </c>
      <c r="E25" s="21" t="b">
        <v>1</v>
      </c>
      <c r="F25" s="21" t="b">
        <v>0</v>
      </c>
      <c r="G25" s="21" t="b">
        <v>0</v>
      </c>
      <c r="H25" s="22" t="b">
        <v>0</v>
      </c>
      <c r="I25" s="20">
        <f>IF(OR(Warden_invested=TRUE,General_invested=TRUE),1,0)*ROUNDDOWN((Level+8)/8,0)</f>
        <v>1</v>
      </c>
      <c r="J25" s="20"/>
      <c r="K25" s="20"/>
      <c r="L25" s="20"/>
      <c r="M25" s="20"/>
      <c r="O25" s="39"/>
      <c r="P25" s="40"/>
      <c r="Q25" s="41"/>
      <c r="T25" s="54" t="s">
        <v>53</v>
      </c>
      <c r="U25" s="54"/>
      <c r="V25" s="54"/>
    </row>
    <row r="26" spans="1:22" ht="20.25" customHeight="1" x14ac:dyDescent="0.3">
      <c r="A26" s="3" t="s">
        <v>52</v>
      </c>
      <c r="B26" s="6">
        <f t="shared" si="2"/>
        <v>0</v>
      </c>
      <c r="C26" s="6">
        <f>Economy_Modifier</f>
        <v>0</v>
      </c>
      <c r="D26" s="6">
        <f t="shared" si="1"/>
        <v>0</v>
      </c>
      <c r="E26" s="9" t="b">
        <v>0</v>
      </c>
      <c r="F26" s="9" t="b">
        <v>0</v>
      </c>
      <c r="G26" s="9" t="b">
        <v>0</v>
      </c>
      <c r="H26" s="6" t="b">
        <v>0</v>
      </c>
      <c r="I26" s="6">
        <f>IF(OR(Viceroy_invested=TRUE,Treasurer_invested=TRUE),1,0)*ROUNDDOWN((Level+8)/8,0)</f>
        <v>0</v>
      </c>
      <c r="J26" s="6"/>
      <c r="K26" s="6"/>
      <c r="L26" s="6"/>
      <c r="M26" s="6"/>
      <c r="O26" s="39"/>
      <c r="P26" s="40"/>
      <c r="Q26" s="41"/>
      <c r="T26" s="52"/>
      <c r="U26" s="52"/>
      <c r="V26" s="52"/>
    </row>
    <row r="27" spans="1:22" ht="20.25" customHeight="1" x14ac:dyDescent="0.3">
      <c r="A27" s="3" t="s">
        <v>71</v>
      </c>
      <c r="B27" s="20">
        <f t="shared" si="2"/>
        <v>2</v>
      </c>
      <c r="C27" s="20">
        <f>Culture_Modifier</f>
        <v>1</v>
      </c>
      <c r="D27" s="20">
        <f t="shared" si="1"/>
        <v>0</v>
      </c>
      <c r="E27" s="21" t="b">
        <v>0</v>
      </c>
      <c r="F27" s="21" t="b">
        <v>0</v>
      </c>
      <c r="G27" s="21" t="b">
        <v>0</v>
      </c>
      <c r="H27" s="22" t="b">
        <v>0</v>
      </c>
      <c r="I27" s="20">
        <f>IF(OR(Councelor_invested=TRUE,Magister_invested=TRUE),1,0)*ROUNDDOWN((Level+8)/8,0)</f>
        <v>1</v>
      </c>
      <c r="J27" s="20"/>
      <c r="K27" s="20"/>
      <c r="L27" s="20"/>
      <c r="M27" s="20"/>
      <c r="O27" s="39"/>
      <c r="P27" s="40"/>
      <c r="Q27" s="41"/>
      <c r="T27" s="51"/>
      <c r="U27" s="51"/>
      <c r="V27" s="51"/>
    </row>
    <row r="28" spans="1:22" ht="20.25" customHeight="1" x14ac:dyDescent="0.3">
      <c r="A28" s="3" t="s">
        <v>72</v>
      </c>
      <c r="B28" s="6">
        <f t="shared" si="2"/>
        <v>0</v>
      </c>
      <c r="C28" s="6">
        <f>Economy_Modifier</f>
        <v>0</v>
      </c>
      <c r="D28" s="6">
        <f t="shared" si="1"/>
        <v>0</v>
      </c>
      <c r="E28" s="9" t="b">
        <v>0</v>
      </c>
      <c r="F28" s="9" t="b">
        <v>0</v>
      </c>
      <c r="G28" s="9" t="b">
        <v>0</v>
      </c>
      <c r="H28" s="10" t="b">
        <v>0</v>
      </c>
      <c r="I28" s="6">
        <f>IF(OR(Viceroy_invested=TRUE,Treasurer_invested=TRUE),1,0)*ROUNDDOWN((Level+8)/8,0)</f>
        <v>0</v>
      </c>
      <c r="J28" s="6"/>
      <c r="K28" s="6"/>
      <c r="L28" s="6"/>
      <c r="M28" s="6"/>
      <c r="O28" s="39"/>
      <c r="P28" s="40"/>
      <c r="Q28" s="41"/>
      <c r="T28" s="53" t="s">
        <v>129</v>
      </c>
      <c r="U28" s="53"/>
      <c r="V28" s="53"/>
    </row>
    <row r="29" spans="1:22" ht="20.25" customHeight="1" x14ac:dyDescent="0.3">
      <c r="A29" s="3" t="s">
        <v>73</v>
      </c>
      <c r="B29" s="20">
        <f t="shared" si="2"/>
        <v>2</v>
      </c>
      <c r="C29" s="20">
        <f>Loyalty_Modifier</f>
        <v>1</v>
      </c>
      <c r="D29" s="20">
        <f t="shared" si="1"/>
        <v>0</v>
      </c>
      <c r="E29" s="21" t="b">
        <v>0</v>
      </c>
      <c r="F29" s="21" t="b">
        <v>0</v>
      </c>
      <c r="G29" s="21" t="b">
        <v>0</v>
      </c>
      <c r="H29" s="22" t="b">
        <v>0</v>
      </c>
      <c r="I29" s="20">
        <f>IF(OR(Ruler_invested=TRUE,Emissary_invested=TRUE),1,0)*ROUNDDOWN((Level+8)/8,0)</f>
        <v>1</v>
      </c>
      <c r="J29" s="20"/>
      <c r="K29" s="20"/>
      <c r="L29" s="20"/>
      <c r="M29" s="20"/>
      <c r="O29" s="39"/>
      <c r="P29" s="40"/>
      <c r="Q29" s="41"/>
      <c r="T29" s="6" t="s">
        <v>130</v>
      </c>
      <c r="U29" s="33" t="s">
        <v>131</v>
      </c>
      <c r="V29" s="33"/>
    </row>
    <row r="30" spans="1:22" ht="20.25" customHeight="1" x14ac:dyDescent="0.3">
      <c r="A30" s="3" t="s">
        <v>74</v>
      </c>
      <c r="B30" s="6">
        <f t="shared" si="2"/>
        <v>2</v>
      </c>
      <c r="C30" s="6">
        <f>Culture_Modifier</f>
        <v>1</v>
      </c>
      <c r="D30" s="6">
        <f t="shared" si="1"/>
        <v>0</v>
      </c>
      <c r="E30" s="9" t="b">
        <v>0</v>
      </c>
      <c r="F30" s="9" t="b">
        <v>0</v>
      </c>
      <c r="G30" s="9" t="b">
        <v>0</v>
      </c>
      <c r="H30" s="10" t="b">
        <v>0</v>
      </c>
      <c r="I30" s="6">
        <f>IF(OR(Councelor_invested=TRUE,Magister_invested=TRUE),1,0)*ROUNDDOWN((Level+8)/8,0)</f>
        <v>1</v>
      </c>
      <c r="J30" s="6"/>
      <c r="K30" s="6"/>
      <c r="L30" s="6"/>
      <c r="M30" s="6"/>
      <c r="O30" s="39"/>
      <c r="P30" s="40"/>
      <c r="Q30" s="41"/>
      <c r="T30" s="6">
        <v>2</v>
      </c>
      <c r="U30" s="33" t="s">
        <v>67</v>
      </c>
      <c r="V30" s="33"/>
    </row>
    <row r="31" spans="1:22" ht="20.25" customHeight="1" x14ac:dyDescent="0.3">
      <c r="A31" s="3" t="s">
        <v>75</v>
      </c>
      <c r="B31" s="20">
        <f t="shared" si="2"/>
        <v>5</v>
      </c>
      <c r="C31" s="20">
        <f>Loyalty_Modifier</f>
        <v>1</v>
      </c>
      <c r="D31" s="20">
        <f t="shared" si="1"/>
        <v>3</v>
      </c>
      <c r="E31" s="21" t="b">
        <v>1</v>
      </c>
      <c r="F31" s="21" t="b">
        <v>0</v>
      </c>
      <c r="G31" s="21" t="b">
        <v>0</v>
      </c>
      <c r="H31" s="22" t="b">
        <v>0</v>
      </c>
      <c r="I31" s="20">
        <f>IF(OR(Ruler_invested=TRUE,Emissary_invested=TRUE),1,0)*ROUNDDOWN((Level+8)/8,0)</f>
        <v>1</v>
      </c>
      <c r="J31" s="20"/>
      <c r="K31" s="20"/>
      <c r="L31" s="20"/>
      <c r="M31" s="20"/>
      <c r="O31" s="39"/>
      <c r="P31" s="40"/>
      <c r="Q31" s="41"/>
      <c r="T31" s="6">
        <v>3</v>
      </c>
      <c r="U31" s="33" t="s">
        <v>69</v>
      </c>
      <c r="V31" s="33"/>
    </row>
    <row r="32" spans="1:22" ht="20.25" customHeight="1" x14ac:dyDescent="0.3">
      <c r="A32" s="3" t="s">
        <v>76</v>
      </c>
      <c r="B32" s="6">
        <f t="shared" si="2"/>
        <v>2</v>
      </c>
      <c r="C32" s="6">
        <f>Culture_Modifier</f>
        <v>1</v>
      </c>
      <c r="D32" s="6">
        <f t="shared" si="1"/>
        <v>0</v>
      </c>
      <c r="E32" s="9" t="b">
        <v>0</v>
      </c>
      <c r="F32" s="9" t="b">
        <v>0</v>
      </c>
      <c r="G32" s="9" t="b">
        <v>0</v>
      </c>
      <c r="H32" s="10" t="b">
        <v>0</v>
      </c>
      <c r="I32" s="6">
        <f>IF(OR(Councelor_invested=TRUE,Magister_invested=TRUE),1,0)*ROUNDDOWN((Level+8)/8,0)</f>
        <v>1</v>
      </c>
      <c r="J32" s="6"/>
      <c r="K32" s="6"/>
      <c r="L32" s="6"/>
      <c r="M32" s="6"/>
      <c r="O32" s="39"/>
      <c r="P32" s="40"/>
      <c r="Q32" s="41"/>
      <c r="T32" s="6">
        <v>4</v>
      </c>
      <c r="U32" s="33"/>
      <c r="V32" s="33"/>
    </row>
    <row r="33" spans="1:22" ht="20.25" customHeight="1" x14ac:dyDescent="0.3">
      <c r="A33" s="3" t="s">
        <v>77</v>
      </c>
      <c r="B33" s="20">
        <f t="shared" si="2"/>
        <v>2</v>
      </c>
      <c r="C33" s="20">
        <f>Loyalty_Modifier</f>
        <v>1</v>
      </c>
      <c r="D33" s="20">
        <f t="shared" si="1"/>
        <v>0</v>
      </c>
      <c r="E33" s="21" t="b">
        <v>0</v>
      </c>
      <c r="F33" s="21" t="b">
        <v>0</v>
      </c>
      <c r="G33" s="21" t="b">
        <v>0</v>
      </c>
      <c r="H33" s="22" t="b">
        <v>0</v>
      </c>
      <c r="I33" s="20">
        <f>IF(OR(Ruler_invested=TRUE,Emissary_invested=TRUE),1,0)*ROUNDDOWN((Level+8)/8,0)</f>
        <v>1</v>
      </c>
      <c r="J33" s="20"/>
      <c r="K33" s="20"/>
      <c r="L33" s="20"/>
      <c r="M33" s="20"/>
      <c r="O33" s="39"/>
      <c r="P33" s="40"/>
      <c r="Q33" s="41"/>
      <c r="T33" s="6">
        <v>5</v>
      </c>
      <c r="U33" s="33"/>
      <c r="V33" s="33"/>
    </row>
    <row r="34" spans="1:22" ht="20.25" customHeight="1" x14ac:dyDescent="0.3">
      <c r="A34" s="3" t="s">
        <v>78</v>
      </c>
      <c r="B34" s="6">
        <f t="shared" si="2"/>
        <v>0</v>
      </c>
      <c r="C34" s="6">
        <f>Economy_Modifier</f>
        <v>0</v>
      </c>
      <c r="D34" s="6">
        <f t="shared" si="1"/>
        <v>0</v>
      </c>
      <c r="E34" s="9" t="b">
        <v>0</v>
      </c>
      <c r="F34" s="9" t="b">
        <v>0</v>
      </c>
      <c r="G34" s="9" t="b">
        <v>0</v>
      </c>
      <c r="H34" s="10" t="b">
        <v>0</v>
      </c>
      <c r="I34" s="6">
        <f>IF(OR(Viceroy_invested=TRUE,Treasurer_invested=TRUE),1,0)*ROUNDDOWN((Level+8)/8,0)</f>
        <v>0</v>
      </c>
      <c r="J34" s="6"/>
      <c r="K34" s="6"/>
      <c r="L34" s="6"/>
      <c r="M34" s="6"/>
      <c r="O34" s="39"/>
      <c r="P34" s="40"/>
      <c r="Q34" s="41"/>
      <c r="T34" s="6">
        <v>6</v>
      </c>
      <c r="U34" s="33"/>
      <c r="V34" s="33"/>
    </row>
    <row r="35" spans="1:22" ht="20.25" customHeight="1" x14ac:dyDescent="0.3">
      <c r="A35" s="3" t="s">
        <v>79</v>
      </c>
      <c r="B35" s="20">
        <f t="shared" si="2"/>
        <v>2</v>
      </c>
      <c r="C35" s="20">
        <f>Loyalty_Modifier</f>
        <v>1</v>
      </c>
      <c r="D35" s="20">
        <f t="shared" si="1"/>
        <v>0</v>
      </c>
      <c r="E35" s="21" t="b">
        <v>0</v>
      </c>
      <c r="F35" s="21" t="b">
        <v>0</v>
      </c>
      <c r="G35" s="21" t="b">
        <v>0</v>
      </c>
      <c r="H35" s="22" t="b">
        <v>0</v>
      </c>
      <c r="I35" s="20">
        <f>IF(OR(Ruler_invested=TRUE,Emissary_invested=TRUE),1,0)*ROUNDDOWN((Level+8)/8,0)</f>
        <v>1</v>
      </c>
      <c r="J35" s="20"/>
      <c r="K35" s="20"/>
      <c r="L35" s="20"/>
      <c r="M35" s="20"/>
      <c r="O35" s="39"/>
      <c r="P35" s="40"/>
      <c r="Q35" s="41"/>
      <c r="T35" s="6">
        <v>7</v>
      </c>
      <c r="U35" s="33"/>
      <c r="V35" s="33"/>
    </row>
    <row r="36" spans="1:22" ht="20.25" customHeight="1" x14ac:dyDescent="0.3">
      <c r="A36" s="3" t="s">
        <v>80</v>
      </c>
      <c r="B36" s="6">
        <f t="shared" si="2"/>
        <v>4</v>
      </c>
      <c r="C36" s="6">
        <f>Stability_Modifier</f>
        <v>3</v>
      </c>
      <c r="D36" s="6">
        <f t="shared" si="1"/>
        <v>0</v>
      </c>
      <c r="E36" s="9" t="b">
        <v>0</v>
      </c>
      <c r="F36" s="9" t="b">
        <v>0</v>
      </c>
      <c r="G36" s="9" t="b">
        <v>0</v>
      </c>
      <c r="H36" s="10" t="b">
        <v>0</v>
      </c>
      <c r="I36" s="6">
        <f>IF(OR(Warden_invested=TRUE,General_invested=TRUE),1,0)*ROUNDDOWN((Level+8)/8,0)</f>
        <v>1</v>
      </c>
      <c r="J36" s="6"/>
      <c r="K36" s="6"/>
      <c r="L36" s="6"/>
      <c r="M36" s="6"/>
      <c r="O36" s="39"/>
      <c r="P36" s="40"/>
      <c r="Q36" s="41"/>
      <c r="T36" s="6">
        <v>8</v>
      </c>
      <c r="U36" s="33"/>
      <c r="V36" s="33"/>
    </row>
    <row r="37" spans="1:22" ht="20.25" customHeight="1" x14ac:dyDescent="0.3">
      <c r="E37" s="5"/>
      <c r="F37" s="5"/>
      <c r="G37" s="5"/>
      <c r="O37" s="39"/>
      <c r="P37" s="40"/>
      <c r="Q37" s="41"/>
      <c r="T37" s="6">
        <v>9</v>
      </c>
      <c r="U37" s="33"/>
      <c r="V37" s="33"/>
    </row>
    <row r="38" spans="1:22" ht="20.25" customHeight="1" x14ac:dyDescent="0.3">
      <c r="B38" s="46" t="s">
        <v>83</v>
      </c>
      <c r="C38" s="46"/>
      <c r="J38" s="46" t="s">
        <v>91</v>
      </c>
      <c r="K38" s="46"/>
      <c r="M38" s="7" t="s">
        <v>78</v>
      </c>
      <c r="O38" s="39"/>
      <c r="P38" s="40"/>
      <c r="Q38" s="41"/>
      <c r="T38" s="6">
        <v>10</v>
      </c>
      <c r="U38" s="33"/>
      <c r="V38" s="33"/>
    </row>
    <row r="39" spans="1:22" ht="20.25" customHeight="1" x14ac:dyDescent="0.3">
      <c r="A39" s="3" t="s">
        <v>6</v>
      </c>
      <c r="B39" s="4" t="s">
        <v>84</v>
      </c>
      <c r="C39" s="4" t="s">
        <v>14</v>
      </c>
      <c r="J39" s="3" t="s">
        <v>6</v>
      </c>
      <c r="K39" s="4" t="s">
        <v>96</v>
      </c>
      <c r="M39" s="8" t="s">
        <v>97</v>
      </c>
      <c r="O39" s="39"/>
      <c r="P39" s="40"/>
      <c r="Q39" s="41"/>
      <c r="T39" s="6">
        <v>11</v>
      </c>
      <c r="U39" s="33"/>
      <c r="V39" s="33"/>
    </row>
    <row r="40" spans="1:22" ht="20.25" customHeight="1" x14ac:dyDescent="0.3">
      <c r="A40" s="3" t="s">
        <v>85</v>
      </c>
      <c r="B40" s="6">
        <v>1</v>
      </c>
      <c r="C40" s="6">
        <f>4+IF(Size&gt;=10,4,0)+IF(Size&gt;=25,4,0)+IF(Size&gt;=50,4,0)+IF(Size&gt;=100,4,0)</f>
        <v>4</v>
      </c>
      <c r="J40" s="3" t="s">
        <v>92</v>
      </c>
      <c r="K40" s="6"/>
      <c r="M40" s="18">
        <v>1</v>
      </c>
      <c r="O40" s="39"/>
      <c r="P40" s="40"/>
      <c r="Q40" s="41"/>
      <c r="T40" s="6">
        <v>12</v>
      </c>
      <c r="U40" s="33"/>
      <c r="V40" s="33"/>
    </row>
    <row r="41" spans="1:22" ht="20.25" customHeight="1" x14ac:dyDescent="0.3">
      <c r="A41" s="3" t="s">
        <v>86</v>
      </c>
      <c r="B41" s="6">
        <v>1</v>
      </c>
      <c r="C41" s="6">
        <f>4+IF(Size&gt;=10,4,0)+IF(Size&gt;=25,4,0)+IF(Size&gt;=50,4,0)+IF(Size&gt;=100,4,0)</f>
        <v>4</v>
      </c>
      <c r="J41" s="3" t="s">
        <v>93</v>
      </c>
      <c r="K41" s="6"/>
      <c r="O41" s="39"/>
      <c r="P41" s="40"/>
      <c r="Q41" s="41"/>
      <c r="T41" s="6">
        <v>13</v>
      </c>
      <c r="U41" s="33"/>
      <c r="V41" s="33"/>
    </row>
    <row r="42" spans="1:22" ht="20.25" customHeight="1" x14ac:dyDescent="0.3">
      <c r="A42" s="3" t="s">
        <v>87</v>
      </c>
      <c r="B42" s="6">
        <v>1</v>
      </c>
      <c r="C42" s="6">
        <f>4+IF(Size&gt;=10,4,0)+IF(Size&gt;=25,4,0)+IF(Size&gt;=50,4,0)+IF(Size&gt;=100,4,0)</f>
        <v>4</v>
      </c>
      <c r="J42" s="3" t="s">
        <v>94</v>
      </c>
      <c r="K42" s="6"/>
      <c r="M42" s="7" t="s">
        <v>98</v>
      </c>
      <c r="O42" s="39"/>
      <c r="P42" s="40"/>
      <c r="Q42" s="41"/>
      <c r="T42" s="6">
        <v>14</v>
      </c>
      <c r="U42" s="33"/>
      <c r="V42" s="33"/>
    </row>
    <row r="43" spans="1:22" ht="20.25" customHeight="1" x14ac:dyDescent="0.3">
      <c r="A43" s="3" t="s">
        <v>88</v>
      </c>
      <c r="B43" s="6"/>
      <c r="C43" s="6">
        <f>4+IF(Size&gt;=10,4,0)+IF(Size&gt;=25,4,0)+IF(Size&gt;=50,4,0)+IF(Size&gt;=100,4,0)</f>
        <v>4</v>
      </c>
      <c r="J43" s="3" t="s">
        <v>95</v>
      </c>
      <c r="K43" s="6"/>
      <c r="M43" s="8" t="s">
        <v>99</v>
      </c>
      <c r="O43" s="39"/>
      <c r="P43" s="40"/>
      <c r="Q43" s="41"/>
      <c r="T43" s="6">
        <v>15</v>
      </c>
      <c r="U43" s="33"/>
      <c r="V43" s="33"/>
    </row>
    <row r="44" spans="1:22" ht="20.25" customHeight="1" x14ac:dyDescent="0.3">
      <c r="A44" s="3" t="s">
        <v>89</v>
      </c>
      <c r="B44" s="6"/>
      <c r="C44" s="6">
        <f>4+IF(Size&gt;=10,4,0)+IF(Size&gt;=25,4,0)+IF(Size&gt;=50,4,0)+IF(Size&gt;=100,4,0)</f>
        <v>4</v>
      </c>
      <c r="M44" s="18"/>
      <c r="O44" s="39"/>
      <c r="P44" s="40"/>
      <c r="Q44" s="41"/>
      <c r="T44" s="6">
        <v>16</v>
      </c>
      <c r="U44" s="33"/>
      <c r="V44" s="33"/>
    </row>
    <row r="45" spans="1:22" ht="20.25" customHeight="1" x14ac:dyDescent="0.3">
      <c r="T45" s="6">
        <v>17</v>
      </c>
      <c r="U45" s="33"/>
      <c r="V45" s="33"/>
    </row>
    <row r="46" spans="1:22" s="5" customFormat="1" ht="20.25" customHeight="1" x14ac:dyDescent="0.3">
      <c r="A46" s="46" t="s">
        <v>100</v>
      </c>
      <c r="B46" s="46"/>
      <c r="C46" s="46"/>
      <c r="E46" s="46" t="s">
        <v>101</v>
      </c>
      <c r="F46" s="46"/>
      <c r="G46" s="46"/>
      <c r="H46" s="46"/>
      <c r="I46" s="46"/>
      <c r="J46" s="46"/>
      <c r="K46" s="46"/>
      <c r="L46" s="46"/>
      <c r="N46" s="46" t="s">
        <v>102</v>
      </c>
      <c r="O46" s="46"/>
      <c r="P46" s="46"/>
      <c r="Q46" s="46"/>
      <c r="T46" s="6">
        <v>18</v>
      </c>
      <c r="U46" s="33"/>
      <c r="V46" s="33"/>
    </row>
    <row r="47" spans="1:22" ht="20.25" customHeight="1" x14ac:dyDescent="0.3">
      <c r="A47" s="43"/>
      <c r="B47" s="44"/>
      <c r="C47" s="45"/>
      <c r="E47" s="43" t="s">
        <v>128</v>
      </c>
      <c r="F47" s="44"/>
      <c r="G47" s="44"/>
      <c r="H47" s="44"/>
      <c r="I47" s="44"/>
      <c r="J47" s="44"/>
      <c r="K47" s="44"/>
      <c r="L47" s="45"/>
      <c r="N47" s="47"/>
      <c r="O47" s="47"/>
      <c r="P47" s="47"/>
      <c r="Q47" s="47"/>
      <c r="T47" s="6">
        <v>19</v>
      </c>
      <c r="U47" s="33"/>
      <c r="V47" s="33"/>
    </row>
    <row r="48" spans="1:22" ht="20.25" customHeight="1" x14ac:dyDescent="0.3">
      <c r="A48" s="43"/>
      <c r="B48" s="44"/>
      <c r="C48" s="45"/>
      <c r="E48" s="43"/>
      <c r="F48" s="44"/>
      <c r="G48" s="44"/>
      <c r="H48" s="44"/>
      <c r="I48" s="44"/>
      <c r="J48" s="44"/>
      <c r="K48" s="44"/>
      <c r="L48" s="45"/>
      <c r="N48" s="47"/>
      <c r="O48" s="47"/>
      <c r="P48" s="47"/>
      <c r="Q48" s="47"/>
      <c r="T48" s="6">
        <v>20</v>
      </c>
      <c r="U48" s="33"/>
      <c r="V48" s="33"/>
    </row>
    <row r="49" spans="1:17" ht="20.25" customHeight="1" x14ac:dyDescent="0.3">
      <c r="A49" s="43"/>
      <c r="B49" s="44"/>
      <c r="C49" s="45"/>
      <c r="E49" s="43"/>
      <c r="F49" s="44"/>
      <c r="G49" s="44"/>
      <c r="H49" s="44"/>
      <c r="I49" s="44"/>
      <c r="J49" s="44"/>
      <c r="K49" s="44"/>
      <c r="L49" s="45"/>
      <c r="N49" s="47"/>
      <c r="O49" s="47"/>
      <c r="P49" s="47"/>
      <c r="Q49" s="47"/>
    </row>
    <row r="50" spans="1:17" ht="20.25" customHeight="1" x14ac:dyDescent="0.3">
      <c r="A50" s="43"/>
      <c r="B50" s="44"/>
      <c r="C50" s="45"/>
      <c r="E50" s="43"/>
      <c r="F50" s="44"/>
      <c r="G50" s="44"/>
      <c r="H50" s="44"/>
      <c r="I50" s="44"/>
      <c r="J50" s="44"/>
      <c r="K50" s="44"/>
      <c r="L50" s="45"/>
      <c r="N50" s="47"/>
      <c r="O50" s="47"/>
      <c r="P50" s="47"/>
      <c r="Q50" s="47"/>
    </row>
  </sheetData>
  <mergeCells count="111">
    <mergeCell ref="T15:V15"/>
    <mergeCell ref="T16:V16"/>
    <mergeCell ref="T17:V17"/>
    <mergeCell ref="T18:V18"/>
    <mergeCell ref="T19:V19"/>
    <mergeCell ref="T20:V20"/>
    <mergeCell ref="T26:V26"/>
    <mergeCell ref="T27:V27"/>
    <mergeCell ref="T28:V28"/>
    <mergeCell ref="T21:V21"/>
    <mergeCell ref="T22:V22"/>
    <mergeCell ref="T23:V23"/>
    <mergeCell ref="T24:V24"/>
    <mergeCell ref="T25:V25"/>
    <mergeCell ref="T6:V6"/>
    <mergeCell ref="T7:V7"/>
    <mergeCell ref="T8:V8"/>
    <mergeCell ref="T9:V9"/>
    <mergeCell ref="T10:V10"/>
    <mergeCell ref="T11:V11"/>
    <mergeCell ref="T12:V12"/>
    <mergeCell ref="T13:V13"/>
    <mergeCell ref="T14:V14"/>
    <mergeCell ref="O44:Q44"/>
    <mergeCell ref="N49:Q49"/>
    <mergeCell ref="B38:C38"/>
    <mergeCell ref="B16:D16"/>
    <mergeCell ref="J18:K18"/>
    <mergeCell ref="J17:K17"/>
    <mergeCell ref="J16:K16"/>
    <mergeCell ref="I19:I20"/>
    <mergeCell ref="T2:V2"/>
    <mergeCell ref="T3:V3"/>
    <mergeCell ref="T4:V4"/>
    <mergeCell ref="T5:V5"/>
    <mergeCell ref="J38:K38"/>
    <mergeCell ref="O29:Q29"/>
    <mergeCell ref="O30:Q30"/>
    <mergeCell ref="O31:Q31"/>
    <mergeCell ref="O32:Q32"/>
    <mergeCell ref="O33:Q33"/>
    <mergeCell ref="O27:Q27"/>
    <mergeCell ref="O28:Q28"/>
    <mergeCell ref="O18:Q18"/>
    <mergeCell ref="O19:Q19"/>
    <mergeCell ref="O20:Q20"/>
    <mergeCell ref="O21:Q21"/>
    <mergeCell ref="O40:Q40"/>
    <mergeCell ref="O37:Q37"/>
    <mergeCell ref="O34:Q34"/>
    <mergeCell ref="O35:Q35"/>
    <mergeCell ref="O36:Q36"/>
    <mergeCell ref="O39:Q39"/>
    <mergeCell ref="O38:Q38"/>
    <mergeCell ref="A49:C49"/>
    <mergeCell ref="A50:C50"/>
    <mergeCell ref="A46:C46"/>
    <mergeCell ref="E46:L46"/>
    <mergeCell ref="N46:Q46"/>
    <mergeCell ref="A47:C47"/>
    <mergeCell ref="A48:C48"/>
    <mergeCell ref="N47:Q47"/>
    <mergeCell ref="N48:Q48"/>
    <mergeCell ref="N50:Q50"/>
    <mergeCell ref="E47:L47"/>
    <mergeCell ref="E48:L48"/>
    <mergeCell ref="E49:L49"/>
    <mergeCell ref="E50:L50"/>
    <mergeCell ref="O41:Q41"/>
    <mergeCell ref="O42:Q42"/>
    <mergeCell ref="O43:Q43"/>
    <mergeCell ref="O26:Q26"/>
    <mergeCell ref="O23:Q23"/>
    <mergeCell ref="O24:Q24"/>
    <mergeCell ref="O25:Q25"/>
    <mergeCell ref="B9:D9"/>
    <mergeCell ref="O16:Q16"/>
    <mergeCell ref="O17:Q17"/>
    <mergeCell ref="J9:M9"/>
    <mergeCell ref="O14:Q14"/>
    <mergeCell ref="O15:Q15"/>
    <mergeCell ref="E2:H2"/>
    <mergeCell ref="E4:H4"/>
    <mergeCell ref="O1:Q1"/>
    <mergeCell ref="O12:Q12"/>
    <mergeCell ref="O13:Q13"/>
    <mergeCell ref="B1:D1"/>
    <mergeCell ref="B2:D2"/>
    <mergeCell ref="B3:D3"/>
    <mergeCell ref="B5:D5"/>
    <mergeCell ref="B4:D4"/>
    <mergeCell ref="U34:V34"/>
    <mergeCell ref="U35:V35"/>
    <mergeCell ref="U36:V36"/>
    <mergeCell ref="U37:V37"/>
    <mergeCell ref="U38:V38"/>
    <mergeCell ref="U29:V29"/>
    <mergeCell ref="U30:V30"/>
    <mergeCell ref="U31:V31"/>
    <mergeCell ref="U32:V32"/>
    <mergeCell ref="U33:V33"/>
    <mergeCell ref="U44:V44"/>
    <mergeCell ref="U45:V45"/>
    <mergeCell ref="U46:V46"/>
    <mergeCell ref="U47:V47"/>
    <mergeCell ref="U48:V48"/>
    <mergeCell ref="U39:V39"/>
    <mergeCell ref="U40:V40"/>
    <mergeCell ref="U41:V41"/>
    <mergeCell ref="U42:V42"/>
    <mergeCell ref="U43:V43"/>
  </mergeCells>
  <dataValidations count="5">
    <dataValidation type="list" allowBlank="1" showInputMessage="1" showErrorMessage="1" sqref="B2:D2" xr:uid="{00000000-0002-0000-0000-000000000000}">
      <formula1>"Pick One,Conquest,Exploration,Expansion,Grant,Open"</formula1>
    </dataValidation>
    <dataValidation type="list" allowBlank="1" showInputMessage="1" showErrorMessage="1" sqref="B3:D3" xr:uid="{00000000-0002-0000-0000-000001000000}">
      <formula1>"Pick One,Forest,Swamp,Hill,Plain,Lake,River,Mountain,Ruins"</formula1>
    </dataValidation>
    <dataValidation type="list" allowBlank="1" showInputMessage="1" showErrorMessage="1" sqref="B4:D4" xr:uid="{00000000-0002-0000-0000-000002000000}">
      <formula1>"Despotism,Feudalism,Oligarchy,Republic,Thaumocracy,Yeomanry"</formula1>
    </dataValidation>
    <dataValidation type="list" allowBlank="1" showInputMessage="1" showErrorMessage="1" sqref="E2:I2 E4:I4" xr:uid="{00000000-0002-0000-0000-000003000000}">
      <formula1>"Free boost,Culture,Economy,Loyalty,Stability"</formula1>
    </dataValidation>
    <dataValidation type="list" allowBlank="1" showInputMessage="1" showErrorMessage="1" sqref="U30:V48" xr:uid="{CE74A108-CE68-4972-9FCF-FED4F3DA83F4}">
      <formula1>$A$20:$A$36</formula1>
    </dataValidation>
  </dataValidations>
  <pageMargins left="0.7" right="0.7" top="0.75" bottom="0.75" header="0.3" footer="0.3"/>
  <pageSetup scale="58" orientation="portrait" verticalDpi="0" r:id="rId1"/>
  <colBreaks count="1" manualBreakCount="1">
    <brk id="1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6" r:id="rId4" name="Check Box 22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20</xdr:row>
                    <xdr:rowOff>19050</xdr:rowOff>
                  </from>
                  <to>
                    <xdr:col>4</xdr:col>
                    <xdr:colOff>200025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 Box 27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20</xdr:row>
                    <xdr:rowOff>19050</xdr:rowOff>
                  </from>
                  <to>
                    <xdr:col>6</xdr:col>
                    <xdr:colOff>200025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 Box 28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20</xdr:row>
                    <xdr:rowOff>19050</xdr:rowOff>
                  </from>
                  <to>
                    <xdr:col>7</xdr:col>
                    <xdr:colOff>200025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Check Box 29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21</xdr:row>
                    <xdr:rowOff>19050</xdr:rowOff>
                  </from>
                  <to>
                    <xdr:col>4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8" name="Check Box 74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27</xdr:row>
                    <xdr:rowOff>19050</xdr:rowOff>
                  </from>
                  <to>
                    <xdr:col>4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9" name="Check Box 75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28</xdr:row>
                    <xdr:rowOff>19050</xdr:rowOff>
                  </from>
                  <to>
                    <xdr:col>4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0" name="Check Box 76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29</xdr:row>
                    <xdr:rowOff>19050</xdr:rowOff>
                  </from>
                  <to>
                    <xdr:col>4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11" name="Check Box 77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30</xdr:row>
                    <xdr:rowOff>19050</xdr:rowOff>
                  </from>
                  <to>
                    <xdr:col>4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12" name="Check Box 78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31</xdr:row>
                    <xdr:rowOff>19050</xdr:rowOff>
                  </from>
                  <to>
                    <xdr:col>4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13" name="Check Box 79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32</xdr:row>
                    <xdr:rowOff>19050</xdr:rowOff>
                  </from>
                  <to>
                    <xdr:col>4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14" name="Check Box 80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33</xdr:row>
                    <xdr:rowOff>19050</xdr:rowOff>
                  </from>
                  <to>
                    <xdr:col>4</xdr:col>
                    <xdr:colOff>200025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15" name="Check Box 81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34</xdr:row>
                    <xdr:rowOff>19050</xdr:rowOff>
                  </from>
                  <to>
                    <xdr:col>4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16" name="Check Box 82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35</xdr:row>
                    <xdr:rowOff>19050</xdr:rowOff>
                  </from>
                  <to>
                    <xdr:col>4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7" name="Check Box 102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28</xdr:row>
                    <xdr:rowOff>19050</xdr:rowOff>
                  </from>
                  <to>
                    <xdr:col>6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8" name="Check Box 103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29</xdr:row>
                    <xdr:rowOff>19050</xdr:rowOff>
                  </from>
                  <to>
                    <xdr:col>6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9" name="Check Box 104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30</xdr:row>
                    <xdr:rowOff>19050</xdr:rowOff>
                  </from>
                  <to>
                    <xdr:col>6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20" name="Check Box 105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31</xdr:row>
                    <xdr:rowOff>19050</xdr:rowOff>
                  </from>
                  <to>
                    <xdr:col>6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21" name="Check Box 106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32</xdr:row>
                    <xdr:rowOff>19050</xdr:rowOff>
                  </from>
                  <to>
                    <xdr:col>6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22" name="Check Box 107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33</xdr:row>
                    <xdr:rowOff>19050</xdr:rowOff>
                  </from>
                  <to>
                    <xdr:col>6</xdr:col>
                    <xdr:colOff>200025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23" name="Check Box 108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34</xdr:row>
                    <xdr:rowOff>19050</xdr:rowOff>
                  </from>
                  <to>
                    <xdr:col>6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24" name="Check Box 109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35</xdr:row>
                    <xdr:rowOff>19050</xdr:rowOff>
                  </from>
                  <to>
                    <xdr:col>6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5" name="Check Box 115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27</xdr:row>
                    <xdr:rowOff>19050</xdr:rowOff>
                  </from>
                  <to>
                    <xdr:col>7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26" name="Check Box 116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28</xdr:row>
                    <xdr:rowOff>19050</xdr:rowOff>
                  </from>
                  <to>
                    <xdr:col>7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27" name="Check Box 117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29</xdr:row>
                    <xdr:rowOff>19050</xdr:rowOff>
                  </from>
                  <to>
                    <xdr:col>7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8" name="Check Box 118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30</xdr:row>
                    <xdr:rowOff>19050</xdr:rowOff>
                  </from>
                  <to>
                    <xdr:col>7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9" name="Check Box 119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31</xdr:row>
                    <xdr:rowOff>19050</xdr:rowOff>
                  </from>
                  <to>
                    <xdr:col>7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30" name="Check Box 120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32</xdr:row>
                    <xdr:rowOff>19050</xdr:rowOff>
                  </from>
                  <to>
                    <xdr:col>7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31" name="Check Box 121">
              <controlPr defaultSize="0" autoFill="0" autoLine="0" autoPict="0" altText="">
                <anchor moveWithCells="1">
                  <from>
                    <xdr:col>7</xdr:col>
                    <xdr:colOff>9525</xdr:colOff>
                    <xdr:row>33</xdr:row>
                    <xdr:rowOff>9525</xdr:rowOff>
                  </from>
                  <to>
                    <xdr:col>7</xdr:col>
                    <xdr:colOff>190500</xdr:colOff>
                    <xdr:row>33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2" name="Check Box 122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34</xdr:row>
                    <xdr:rowOff>19050</xdr:rowOff>
                  </from>
                  <to>
                    <xdr:col>7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33" name="Check Box 123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35</xdr:row>
                    <xdr:rowOff>19050</xdr:rowOff>
                  </from>
                  <to>
                    <xdr:col>7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4" name="Check Box 124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22</xdr:row>
                    <xdr:rowOff>19050</xdr:rowOff>
                  </from>
                  <to>
                    <xdr:col>4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5" name="Check Box 125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23</xdr:row>
                    <xdr:rowOff>19050</xdr:rowOff>
                  </from>
                  <to>
                    <xdr:col>4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6" name="Check Box 126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24</xdr:row>
                    <xdr:rowOff>19050</xdr:rowOff>
                  </from>
                  <to>
                    <xdr:col>4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7" name="Check Box 127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25</xdr:row>
                    <xdr:rowOff>19050</xdr:rowOff>
                  </from>
                  <to>
                    <xdr:col>4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8" name="Check Box 128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26</xdr:row>
                    <xdr:rowOff>19050</xdr:rowOff>
                  </from>
                  <to>
                    <xdr:col>4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39" name="Check Box 170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21</xdr:row>
                    <xdr:rowOff>19050</xdr:rowOff>
                  </from>
                  <to>
                    <xdr:col>6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40" name="Check Box 171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22</xdr:row>
                    <xdr:rowOff>19050</xdr:rowOff>
                  </from>
                  <to>
                    <xdr:col>6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41" name="Check Box 172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23</xdr:row>
                    <xdr:rowOff>19050</xdr:rowOff>
                  </from>
                  <to>
                    <xdr:col>6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42" name="Check Box 173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24</xdr:row>
                    <xdr:rowOff>19050</xdr:rowOff>
                  </from>
                  <to>
                    <xdr:col>6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43" name="Check Box 174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25</xdr:row>
                    <xdr:rowOff>19050</xdr:rowOff>
                  </from>
                  <to>
                    <xdr:col>6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44" name="Check Box 175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26</xdr:row>
                    <xdr:rowOff>19050</xdr:rowOff>
                  </from>
                  <to>
                    <xdr:col>6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45" name="Check Box 176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27</xdr:row>
                    <xdr:rowOff>19050</xdr:rowOff>
                  </from>
                  <to>
                    <xdr:col>6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46" name="Check Box 177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21</xdr:row>
                    <xdr:rowOff>19050</xdr:rowOff>
                  </from>
                  <to>
                    <xdr:col>7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47" name="Check Box 178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22</xdr:row>
                    <xdr:rowOff>19050</xdr:rowOff>
                  </from>
                  <to>
                    <xdr:col>7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48" name="Check Box 179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23</xdr:row>
                    <xdr:rowOff>19050</xdr:rowOff>
                  </from>
                  <to>
                    <xdr:col>7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49" name="Check Box 180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24</xdr:row>
                    <xdr:rowOff>19050</xdr:rowOff>
                  </from>
                  <to>
                    <xdr:col>7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50" name="Check Box 181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25</xdr:row>
                    <xdr:rowOff>19050</xdr:rowOff>
                  </from>
                  <to>
                    <xdr:col>7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51" name="Check Box 182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26</xdr:row>
                    <xdr:rowOff>19050</xdr:rowOff>
                  </from>
                  <to>
                    <xdr:col>7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52" name="Check Box 202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20</xdr:row>
                    <xdr:rowOff>9525</xdr:rowOff>
                  </from>
                  <to>
                    <xdr:col>5</xdr:col>
                    <xdr:colOff>200025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53" name="Check Box 203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21</xdr:row>
                    <xdr:rowOff>19050</xdr:rowOff>
                  </from>
                  <to>
                    <xdr:col>5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54" name="Check Box 204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22</xdr:row>
                    <xdr:rowOff>19050</xdr:rowOff>
                  </from>
                  <to>
                    <xdr:col>5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55" name="Check Box 205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23</xdr:row>
                    <xdr:rowOff>19050</xdr:rowOff>
                  </from>
                  <to>
                    <xdr:col>5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56" name="Check Box 206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24</xdr:row>
                    <xdr:rowOff>19050</xdr:rowOff>
                  </from>
                  <to>
                    <xdr:col>5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57" name="Check Box 207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25</xdr:row>
                    <xdr:rowOff>19050</xdr:rowOff>
                  </from>
                  <to>
                    <xdr:col>5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58" name="Check Box 208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26</xdr:row>
                    <xdr:rowOff>19050</xdr:rowOff>
                  </from>
                  <to>
                    <xdr:col>5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59" name="Check Box 209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27</xdr:row>
                    <xdr:rowOff>19050</xdr:rowOff>
                  </from>
                  <to>
                    <xdr:col>5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60" name="Check Box 210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28</xdr:row>
                    <xdr:rowOff>19050</xdr:rowOff>
                  </from>
                  <to>
                    <xdr:col>5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61" name="Check Box 211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29</xdr:row>
                    <xdr:rowOff>19050</xdr:rowOff>
                  </from>
                  <to>
                    <xdr:col>5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62" name="Check Box 212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30</xdr:row>
                    <xdr:rowOff>19050</xdr:rowOff>
                  </from>
                  <to>
                    <xdr:col>5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63" name="Check Box 213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31</xdr:row>
                    <xdr:rowOff>19050</xdr:rowOff>
                  </from>
                  <to>
                    <xdr:col>5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64" name="Check Box 214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32</xdr:row>
                    <xdr:rowOff>19050</xdr:rowOff>
                  </from>
                  <to>
                    <xdr:col>5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65" name="Check Box 215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33</xdr:row>
                    <xdr:rowOff>19050</xdr:rowOff>
                  </from>
                  <to>
                    <xdr:col>5</xdr:col>
                    <xdr:colOff>200025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66" name="Check Box 216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34</xdr:row>
                    <xdr:rowOff>19050</xdr:rowOff>
                  </from>
                  <to>
                    <xdr:col>5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67" name="Check Box 218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35</xdr:row>
                    <xdr:rowOff>19050</xdr:rowOff>
                  </from>
                  <to>
                    <xdr:col>5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N19"/>
  <sheetViews>
    <sheetView zoomScale="75" zoomScaleNormal="75" workbookViewId="0">
      <selection activeCell="R6" sqref="R6"/>
    </sheetView>
  </sheetViews>
  <sheetFormatPr defaultColWidth="10.7109375" defaultRowHeight="56.25" customHeight="1" x14ac:dyDescent="0.25"/>
  <cols>
    <col min="1" max="3" width="3.5703125" customWidth="1"/>
    <col min="7" max="7" width="3.5703125" customWidth="1"/>
    <col min="10" max="10" width="3.5703125" customWidth="1"/>
    <col min="14" max="16" width="3.5703125" customWidth="1"/>
    <col min="21" max="21" width="11.28515625" customWidth="1"/>
  </cols>
  <sheetData>
    <row r="1" spans="4:13" ht="18.75" customHeight="1" x14ac:dyDescent="0.25">
      <c r="D1" s="58" t="s">
        <v>106</v>
      </c>
      <c r="E1" s="58"/>
      <c r="F1" s="58"/>
      <c r="G1" s="30"/>
      <c r="H1" s="31" t="s">
        <v>15</v>
      </c>
      <c r="I1" s="32">
        <v>1</v>
      </c>
      <c r="J1" s="30"/>
      <c r="K1" s="59" t="s">
        <v>107</v>
      </c>
      <c r="L1" s="59"/>
      <c r="M1" s="30"/>
    </row>
    <row r="2" spans="4:13" ht="18.75" customHeight="1" x14ac:dyDescent="0.25">
      <c r="D2" s="30"/>
      <c r="E2" s="30"/>
      <c r="F2" s="30"/>
      <c r="G2" s="30"/>
      <c r="H2" s="30"/>
      <c r="I2" s="30"/>
      <c r="J2" s="30"/>
      <c r="K2" s="30"/>
      <c r="L2" s="30"/>
      <c r="M2" s="30"/>
    </row>
    <row r="3" spans="4:13" ht="18.75" customHeight="1" x14ac:dyDescent="0.25">
      <c r="D3" s="30"/>
      <c r="E3" s="30"/>
      <c r="F3" s="30"/>
      <c r="G3" s="30"/>
      <c r="H3" s="30"/>
      <c r="I3" s="30"/>
      <c r="J3" s="30"/>
      <c r="K3" s="30"/>
      <c r="L3" s="30"/>
      <c r="M3" s="30"/>
    </row>
    <row r="4" spans="4:13" ht="18.75" customHeight="1" x14ac:dyDescent="0.25">
      <c r="D4" s="30"/>
      <c r="E4" s="30"/>
      <c r="F4" s="30"/>
      <c r="G4" s="30"/>
      <c r="H4" s="30"/>
      <c r="I4" s="30"/>
      <c r="J4" s="30"/>
      <c r="K4" s="30"/>
      <c r="L4" s="30"/>
      <c r="M4" s="30"/>
    </row>
    <row r="5" spans="4:13" ht="18.75" customHeight="1" x14ac:dyDescent="0.25">
      <c r="D5" s="30"/>
      <c r="E5" s="30"/>
      <c r="F5" s="30"/>
      <c r="G5" s="30"/>
      <c r="H5" s="30"/>
      <c r="I5" s="30"/>
      <c r="J5" s="30"/>
      <c r="K5" s="30"/>
      <c r="L5" s="30"/>
      <c r="M5" s="30"/>
    </row>
    <row r="6" spans="4:13" ht="18.75" customHeight="1" x14ac:dyDescent="0.25">
      <c r="D6" s="30"/>
      <c r="E6" s="30"/>
      <c r="F6" s="30"/>
      <c r="G6" s="30"/>
      <c r="H6" s="30"/>
      <c r="I6" s="30"/>
      <c r="J6" s="30"/>
      <c r="K6" s="30"/>
      <c r="L6" s="30"/>
      <c r="M6" s="30"/>
    </row>
    <row r="7" spans="4:13" ht="56.25" customHeight="1" x14ac:dyDescent="0.25">
      <c r="D7" s="23"/>
      <c r="E7" s="23"/>
      <c r="F7" s="23"/>
      <c r="G7" s="23"/>
      <c r="H7" s="23"/>
      <c r="I7" s="23"/>
      <c r="J7" s="23"/>
      <c r="K7" s="23"/>
      <c r="L7" s="23"/>
      <c r="M7" s="23"/>
    </row>
    <row r="8" spans="4:13" ht="56.25" customHeight="1" x14ac:dyDescent="0.25">
      <c r="D8" s="23"/>
      <c r="E8" s="26"/>
      <c r="F8" s="27"/>
      <c r="G8" s="23"/>
      <c r="H8" s="26"/>
      <c r="I8" s="27"/>
      <c r="J8" s="23"/>
      <c r="K8" s="26"/>
      <c r="L8" s="27"/>
      <c r="M8" s="23"/>
    </row>
    <row r="9" spans="4:13" ht="56.25" customHeight="1" x14ac:dyDescent="0.25">
      <c r="D9" s="23"/>
      <c r="E9" s="28"/>
      <c r="F9" s="29"/>
      <c r="G9" s="23"/>
      <c r="H9" s="28"/>
      <c r="I9" s="29"/>
      <c r="J9" s="23"/>
      <c r="K9" s="28"/>
      <c r="L9" s="29"/>
      <c r="M9" s="23"/>
    </row>
    <row r="10" spans="4:13" ht="18.75" customHeight="1" x14ac:dyDescent="0.25">
      <c r="D10" s="23"/>
      <c r="E10" s="23"/>
      <c r="F10" s="23"/>
      <c r="G10" s="23"/>
      <c r="H10" s="23"/>
      <c r="I10" s="23"/>
      <c r="J10" s="23"/>
      <c r="K10" s="23"/>
      <c r="L10" s="23"/>
      <c r="M10" s="23"/>
    </row>
    <row r="11" spans="4:13" ht="56.25" customHeight="1" x14ac:dyDescent="0.25">
      <c r="D11" s="23"/>
      <c r="E11" s="26"/>
      <c r="F11" s="27"/>
      <c r="G11" s="23"/>
      <c r="H11" s="26"/>
      <c r="I11" s="27"/>
      <c r="J11" s="23"/>
      <c r="K11" s="26"/>
      <c r="L11" s="27"/>
      <c r="M11" s="23"/>
    </row>
    <row r="12" spans="4:13" ht="56.25" customHeight="1" x14ac:dyDescent="0.25">
      <c r="D12" s="23"/>
      <c r="E12" s="28"/>
      <c r="F12" s="29"/>
      <c r="G12" s="23"/>
      <c r="H12" s="28"/>
      <c r="I12" s="29"/>
      <c r="J12" s="23"/>
      <c r="K12" s="28"/>
      <c r="L12" s="29"/>
      <c r="M12" s="23"/>
    </row>
    <row r="13" spans="4:13" ht="18.75" customHeight="1" x14ac:dyDescent="0.25">
      <c r="D13" s="23"/>
      <c r="E13" s="23"/>
      <c r="F13" s="23"/>
      <c r="G13" s="23"/>
      <c r="H13" s="23"/>
      <c r="I13" s="23"/>
      <c r="J13" s="23"/>
      <c r="K13" s="23"/>
      <c r="L13" s="23"/>
      <c r="M13" s="23"/>
    </row>
    <row r="14" spans="4:13" ht="56.25" customHeight="1" x14ac:dyDescent="0.25">
      <c r="D14" s="23"/>
      <c r="E14" s="26"/>
      <c r="F14" s="27"/>
      <c r="G14" s="23"/>
      <c r="H14" s="25" t="s">
        <v>105</v>
      </c>
      <c r="I14" s="24"/>
      <c r="J14" s="23"/>
      <c r="K14" s="26"/>
      <c r="L14" s="27"/>
      <c r="M14" s="23"/>
    </row>
    <row r="15" spans="4:13" ht="56.25" customHeight="1" x14ac:dyDescent="0.25">
      <c r="D15" s="23"/>
      <c r="E15" s="28"/>
      <c r="F15" s="29"/>
      <c r="G15" s="23"/>
      <c r="H15" s="56" t="s">
        <v>104</v>
      </c>
      <c r="I15" s="57"/>
      <c r="J15" s="23"/>
      <c r="K15" s="28"/>
      <c r="L15" s="29"/>
      <c r="M15" s="23"/>
    </row>
    <row r="16" spans="4:13" ht="56.25" customHeight="1" x14ac:dyDescent="0.25">
      <c r="D16" s="23"/>
      <c r="E16" s="23"/>
      <c r="F16" s="23"/>
      <c r="G16" s="23"/>
      <c r="H16" s="23"/>
      <c r="I16" s="23"/>
      <c r="J16" s="23"/>
      <c r="K16" s="23"/>
      <c r="L16" s="23"/>
      <c r="M16" s="23"/>
    </row>
    <row r="17" spans="2:14" ht="18.75" customHeight="1" x14ac:dyDescent="0.25"/>
    <row r="18" spans="2:14" ht="18.75" customHeight="1" x14ac:dyDescent="0.3">
      <c r="B18" s="55" t="s">
        <v>103</v>
      </c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</row>
    <row r="19" spans="2:14" ht="18.75" customHeight="1" x14ac:dyDescent="0.25"/>
  </sheetData>
  <mergeCells count="4">
    <mergeCell ref="B18:N18"/>
    <mergeCell ref="H15:I15"/>
    <mergeCell ref="D1:F1"/>
    <mergeCell ref="K1:L1"/>
  </mergeCells>
  <dataValidations count="1">
    <dataValidation type="list" allowBlank="1" showInputMessage="1" showErrorMessage="1" sqref="K1:L1" xr:uid="{00000000-0002-0000-0100-000000000000}">
      <formula1>"Village,Town,City,Metropolis"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69B609-FEEE-4B83-A40A-83A250AA489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144</vt:i4>
      </vt:variant>
    </vt:vector>
  </HeadingPairs>
  <TitlesOfParts>
    <vt:vector size="146" baseType="lpstr">
      <vt:lpstr>Kingdom</vt:lpstr>
      <vt:lpstr>Urban Grid</vt:lpstr>
      <vt:lpstr>Agriculture</vt:lpstr>
      <vt:lpstr>Agriculture_expert</vt:lpstr>
      <vt:lpstr>Agriculture_legendary</vt:lpstr>
      <vt:lpstr>Agriculture_master</vt:lpstr>
      <vt:lpstr>Agriculture_Trained</vt:lpstr>
      <vt:lpstr>Arts</vt:lpstr>
      <vt:lpstr>Arts_expert</vt:lpstr>
      <vt:lpstr>Arts_legendary</vt:lpstr>
      <vt:lpstr>Arts_master</vt:lpstr>
      <vt:lpstr>Arts_trained</vt:lpstr>
      <vt:lpstr>Boating</vt:lpstr>
      <vt:lpstr>boating_expert</vt:lpstr>
      <vt:lpstr>boating_legendary</vt:lpstr>
      <vt:lpstr>boating_master</vt:lpstr>
      <vt:lpstr>boating_trained</vt:lpstr>
      <vt:lpstr>Charter</vt:lpstr>
      <vt:lpstr>Charter_boost</vt:lpstr>
      <vt:lpstr>Conquest</vt:lpstr>
      <vt:lpstr>Councelor_invested</vt:lpstr>
      <vt:lpstr>Culture</vt:lpstr>
      <vt:lpstr>Culture_Modifier</vt:lpstr>
      <vt:lpstr>Defense</vt:lpstr>
      <vt:lpstr>Defense_expert</vt:lpstr>
      <vt:lpstr>Defense_legendary</vt:lpstr>
      <vt:lpstr>Defense_master</vt:lpstr>
      <vt:lpstr>Defense_trained</vt:lpstr>
      <vt:lpstr>Depotism</vt:lpstr>
      <vt:lpstr>Despotism</vt:lpstr>
      <vt:lpstr>Economy</vt:lpstr>
      <vt:lpstr>Economy_Modifier</vt:lpstr>
      <vt:lpstr>Emissary_invested</vt:lpstr>
      <vt:lpstr>Engineering</vt:lpstr>
      <vt:lpstr>Engineering_expert</vt:lpstr>
      <vt:lpstr>Engineering_legendary</vt:lpstr>
      <vt:lpstr>Engineering_master</vt:lpstr>
      <vt:lpstr>Engineering_trained</vt:lpstr>
      <vt:lpstr>Expansion</vt:lpstr>
      <vt:lpstr>Exploration</vt:lpstr>
      <vt:lpstr>Exploration_expert</vt:lpstr>
      <vt:lpstr>Exploration_legendary</vt:lpstr>
      <vt:lpstr>Exploration_master</vt:lpstr>
      <vt:lpstr>Exploration_trained</vt:lpstr>
      <vt:lpstr>Exploration1</vt:lpstr>
      <vt:lpstr>Feudalism</vt:lpstr>
      <vt:lpstr>Folklore</vt:lpstr>
      <vt:lpstr>Folklore_expert</vt:lpstr>
      <vt:lpstr>Folklore_legendary</vt:lpstr>
      <vt:lpstr>Folklore_master</vt:lpstr>
      <vt:lpstr>Folklore_trained</vt:lpstr>
      <vt:lpstr>Forest</vt:lpstr>
      <vt:lpstr>General_invested</vt:lpstr>
      <vt:lpstr>Government</vt:lpstr>
      <vt:lpstr>Government_boost</vt:lpstr>
      <vt:lpstr>Government_feat</vt:lpstr>
      <vt:lpstr>Grant</vt:lpstr>
      <vt:lpstr>Heartland</vt:lpstr>
      <vt:lpstr>Hill</vt:lpstr>
      <vt:lpstr>Industry</vt:lpstr>
      <vt:lpstr>Industry_expert</vt:lpstr>
      <vt:lpstr>Industry_legendary</vt:lpstr>
      <vt:lpstr>Industry_master</vt:lpstr>
      <vt:lpstr>Industry_trained</vt:lpstr>
      <vt:lpstr>Intrigue</vt:lpstr>
      <vt:lpstr>Intrigue_expert</vt:lpstr>
      <vt:lpstr>Intrigue_legendary</vt:lpstr>
      <vt:lpstr>Intrigue_master</vt:lpstr>
      <vt:lpstr>Intrigue_trained</vt:lpstr>
      <vt:lpstr>Lake</vt:lpstr>
      <vt:lpstr>leve11Skill</vt:lpstr>
      <vt:lpstr>Level</vt:lpstr>
      <vt:lpstr>level10Skill</vt:lpstr>
      <vt:lpstr>level12Skill</vt:lpstr>
      <vt:lpstr>level13Skill</vt:lpstr>
      <vt:lpstr>level14Skill</vt:lpstr>
      <vt:lpstr>level15Skill</vt:lpstr>
      <vt:lpstr>level16Skill</vt:lpstr>
      <vt:lpstr>level17Skill</vt:lpstr>
      <vt:lpstr>level18Skill</vt:lpstr>
      <vt:lpstr>level19Skill</vt:lpstr>
      <vt:lpstr>level20Skill</vt:lpstr>
      <vt:lpstr>level2Skill</vt:lpstr>
      <vt:lpstr>level3Skill</vt:lpstr>
      <vt:lpstr>level4Skill</vt:lpstr>
      <vt:lpstr>level5Skill</vt:lpstr>
      <vt:lpstr>level6Skill</vt:lpstr>
      <vt:lpstr>level7Skill</vt:lpstr>
      <vt:lpstr>level8Skill</vt:lpstr>
      <vt:lpstr>level9Skill</vt:lpstr>
      <vt:lpstr>levelIncreaseSkills</vt:lpstr>
      <vt:lpstr>Loyalty</vt:lpstr>
      <vt:lpstr>Loyalty_Modifier</vt:lpstr>
      <vt:lpstr>Magic</vt:lpstr>
      <vt:lpstr>Magic_expert</vt:lpstr>
      <vt:lpstr>Magic_legendary</vt:lpstr>
      <vt:lpstr>Magic_master</vt:lpstr>
      <vt:lpstr>Magic_trained</vt:lpstr>
      <vt:lpstr>Magister_invested</vt:lpstr>
      <vt:lpstr>Mountain</vt:lpstr>
      <vt:lpstr>Oligarchy</vt:lpstr>
      <vt:lpstr>Open</vt:lpstr>
      <vt:lpstr>Plain</vt:lpstr>
      <vt:lpstr>Politics</vt:lpstr>
      <vt:lpstr>politics_expert</vt:lpstr>
      <vt:lpstr>politics_legendary</vt:lpstr>
      <vt:lpstr>politics_master</vt:lpstr>
      <vt:lpstr>politics_trained</vt:lpstr>
      <vt:lpstr>Republic</vt:lpstr>
      <vt:lpstr>River</vt:lpstr>
      <vt:lpstr>Ruins</vt:lpstr>
      <vt:lpstr>Ruler_invested</vt:lpstr>
      <vt:lpstr>Scholarship</vt:lpstr>
      <vt:lpstr>Scholarship_expert</vt:lpstr>
      <vt:lpstr>Scholarship_legendary</vt:lpstr>
      <vt:lpstr>Scholarship_master</vt:lpstr>
      <vt:lpstr>Scholarship_trained</vt:lpstr>
      <vt:lpstr>Size</vt:lpstr>
      <vt:lpstr>Stability</vt:lpstr>
      <vt:lpstr>Stability_Modifier</vt:lpstr>
      <vt:lpstr>Statecraft</vt:lpstr>
      <vt:lpstr>Statecraft_expert</vt:lpstr>
      <vt:lpstr>Statecraft_legendary</vt:lpstr>
      <vt:lpstr>Statecraft_master</vt:lpstr>
      <vt:lpstr>Statecraft_trained</vt:lpstr>
      <vt:lpstr>Swamp</vt:lpstr>
      <vt:lpstr>Thaumocracy</vt:lpstr>
      <vt:lpstr>Trade</vt:lpstr>
      <vt:lpstr>Trade_expert</vt:lpstr>
      <vt:lpstr>Trade_Legendary</vt:lpstr>
      <vt:lpstr>Trade_master</vt:lpstr>
      <vt:lpstr>Trade_trained</vt:lpstr>
      <vt:lpstr>Treasurer_invested</vt:lpstr>
      <vt:lpstr>Viceroy_invested</vt:lpstr>
      <vt:lpstr>Warden_invested</vt:lpstr>
      <vt:lpstr>Warfare</vt:lpstr>
      <vt:lpstr>Warfare_expert</vt:lpstr>
      <vt:lpstr>Warfare_legendary</vt:lpstr>
      <vt:lpstr>Warfare_master</vt:lpstr>
      <vt:lpstr>Warfare_trained</vt:lpstr>
      <vt:lpstr>Wilderness</vt:lpstr>
      <vt:lpstr>Wilderness_expert</vt:lpstr>
      <vt:lpstr>Wilderness_legendary</vt:lpstr>
      <vt:lpstr>Wilderness_master</vt:lpstr>
      <vt:lpstr>Wilderness_trained</vt:lpstr>
      <vt:lpstr>Yeomanry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Jubenville, Dan</dc:creator>
  <cp:lastModifiedBy>Jubenville, Dan</cp:lastModifiedBy>
  <cp:lastPrinted>2024-03-11T15:50:31Z</cp:lastPrinted>
  <dcterms:created xsi:type="dcterms:W3CDTF">2015-06-05T18:17:20Z</dcterms:created>
  <dcterms:modified xsi:type="dcterms:W3CDTF">2024-03-15T15:49:08Z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f3ac890-09a1-47d3-8d04-15427d7fec91_Enabled">
    <vt:lpwstr>true</vt:lpwstr>
  </property>
  <property fmtid="{D5CDD505-2E9C-101B-9397-08002B2CF9AE}" pid="3" name="MSIP_Label_3f3ac890-09a1-47d3-8d04-15427d7fec91_SetDate">
    <vt:lpwstr>2024-03-11T13:09:01Z</vt:lpwstr>
  </property>
  <property fmtid="{D5CDD505-2E9C-101B-9397-08002B2CF9AE}" pid="4" name="MSIP_Label_3f3ac890-09a1-47d3-8d04-15427d7fec91_Method">
    <vt:lpwstr>Standard</vt:lpwstr>
  </property>
  <property fmtid="{D5CDD505-2E9C-101B-9397-08002B2CF9AE}" pid="5" name="MSIP_Label_3f3ac890-09a1-47d3-8d04-15427d7fec91_Name">
    <vt:lpwstr>Internal</vt:lpwstr>
  </property>
  <property fmtid="{D5CDD505-2E9C-101B-9397-08002B2CF9AE}" pid="6" name="MSIP_Label_3f3ac890-09a1-47d3-8d04-15427d7fec91_SiteId">
    <vt:lpwstr>39b77101-99b7-41c9-8d6a-7794b9d48476</vt:lpwstr>
  </property>
  <property fmtid="{D5CDD505-2E9C-101B-9397-08002B2CF9AE}" pid="7" name="MSIP_Label_3f3ac890-09a1-47d3-8d04-15427d7fec91_ActionId">
    <vt:lpwstr>51e4f3a3-e5e9-48ae-97c9-af85c0557242</vt:lpwstr>
  </property>
  <property fmtid="{D5CDD505-2E9C-101B-9397-08002B2CF9AE}" pid="8" name="MSIP_Label_3f3ac890-09a1-47d3-8d04-15427d7fec91_ContentBits">
    <vt:lpwstr>0</vt:lpwstr>
  </property>
</Properties>
</file>